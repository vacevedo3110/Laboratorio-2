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21"/>
  <workbookPr defaultThemeVersion="202300"/>
  <mc:AlternateContent xmlns:mc="http://schemas.openxmlformats.org/markup-compatibility/2006">
    <mc:Choice Requires="x15">
      <x15ac:absPath xmlns:x15ac="http://schemas.microsoft.com/office/spreadsheetml/2010/11/ac" url="/Users/vicenteacevedo/Desktop/"/>
    </mc:Choice>
  </mc:AlternateContent>
  <xr:revisionPtr revIDLastSave="0" documentId="8_{01F63CEC-5618-2C4B-A27B-872617C64584}" xr6:coauthVersionLast="47" xr6:coauthVersionMax="47" xr10:uidLastSave="{00000000-0000-0000-0000-000000000000}"/>
  <bookViews>
    <workbookView xWindow="0" yWindow="660" windowWidth="29400" windowHeight="18460" activeTab="1" xr2:uid="{D8AC662B-F934-7F45-8592-D0570C15BBBD}"/>
  </bookViews>
  <sheets>
    <sheet name="Parámetros" sheetId="1" r:id="rId1"/>
    <sheet name="Distribución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Y52" i="2" l="1"/>
  <c r="Y57" i="2"/>
  <c r="X52" i="2"/>
  <c r="X57" i="2"/>
  <c r="W58" i="2"/>
  <c r="Z1" i="2"/>
  <c r="E72" i="2"/>
  <c r="E71" i="2"/>
  <c r="E70" i="2"/>
  <c r="E69" i="2"/>
  <c r="E68" i="2"/>
  <c r="E67" i="2"/>
  <c r="J80" i="2" s="1"/>
  <c r="E66" i="2"/>
  <c r="E65" i="2"/>
  <c r="E64" i="2"/>
  <c r="D72" i="2"/>
  <c r="D71" i="2"/>
  <c r="D70" i="2"/>
  <c r="D69" i="2"/>
  <c r="D68" i="2"/>
  <c r="D67" i="2"/>
  <c r="D66" i="2"/>
  <c r="D65" i="2"/>
  <c r="D64" i="2"/>
  <c r="K36" i="2"/>
  <c r="K37" i="2"/>
  <c r="K38" i="2"/>
  <c r="K39" i="2"/>
  <c r="K40" i="2"/>
  <c r="K41" i="2"/>
  <c r="K42" i="2"/>
  <c r="K44" i="2"/>
  <c r="K45" i="2"/>
  <c r="K46" i="2"/>
  <c r="K47" i="2"/>
  <c r="K48" i="2"/>
  <c r="K49" i="2"/>
  <c r="K51" i="2"/>
  <c r="K52" i="2"/>
  <c r="K53" i="2"/>
  <c r="J15" i="2"/>
  <c r="K15" i="2" s="1"/>
  <c r="L6" i="2"/>
  <c r="L7" i="2"/>
  <c r="L8" i="2"/>
  <c r="M8" i="2" s="1"/>
  <c r="L9" i="2"/>
  <c r="M9" i="2" s="1"/>
  <c r="L10" i="2"/>
  <c r="M10" i="2" s="1"/>
  <c r="F6" i="2"/>
  <c r="G6" i="2" s="1"/>
  <c r="B6" i="1"/>
  <c r="B10" i="1"/>
  <c r="B9" i="1"/>
  <c r="B8" i="1"/>
  <c r="B7" i="1"/>
  <c r="F10" i="2" s="1"/>
  <c r="G10" i="2" s="1"/>
  <c r="I77" i="2" l="1"/>
  <c r="I79" i="2"/>
  <c r="I84" i="2"/>
  <c r="J84" i="2"/>
  <c r="I76" i="2"/>
  <c r="K84" i="2"/>
  <c r="L84" i="2" s="1"/>
  <c r="M84" i="2"/>
  <c r="K77" i="2"/>
  <c r="M77" i="2" s="1"/>
  <c r="J82" i="2"/>
  <c r="J81" i="2"/>
  <c r="J79" i="2"/>
  <c r="K79" i="2" s="1"/>
  <c r="J77" i="2"/>
  <c r="I78" i="2"/>
  <c r="J83" i="2"/>
  <c r="I81" i="2"/>
  <c r="I82" i="2"/>
  <c r="K82" i="2" s="1"/>
  <c r="I83" i="2"/>
  <c r="K83" i="2" s="1"/>
  <c r="J78" i="2"/>
  <c r="I85" i="2"/>
  <c r="K85" i="2" s="1"/>
  <c r="M85" i="2" s="1"/>
  <c r="J76" i="2"/>
  <c r="K76" i="2" s="1"/>
  <c r="I80" i="2"/>
  <c r="K80" i="2" s="1"/>
  <c r="M80" i="2" s="1"/>
  <c r="J85" i="2"/>
  <c r="L80" i="2"/>
  <c r="H36" i="2"/>
  <c r="H37" i="2"/>
  <c r="M6" i="2"/>
  <c r="M7" i="2"/>
  <c r="M11" i="2" s="1"/>
  <c r="F8" i="2"/>
  <c r="G8" i="2" s="1"/>
  <c r="F9" i="2"/>
  <c r="G9" i="2" s="1"/>
  <c r="F7" i="2"/>
  <c r="G7" i="2" s="1"/>
  <c r="L79" i="2" l="1"/>
  <c r="M79" i="2"/>
  <c r="L76" i="2"/>
  <c r="M76" i="2"/>
  <c r="L77" i="2"/>
  <c r="L83" i="2"/>
  <c r="L82" i="2"/>
  <c r="M83" i="2"/>
  <c r="L85" i="2"/>
  <c r="K78" i="2"/>
  <c r="K81" i="2"/>
  <c r="L81" i="2" s="1"/>
  <c r="M81" i="2"/>
  <c r="M82" i="2"/>
  <c r="G11" i="2"/>
  <c r="D21" i="2" s="1"/>
  <c r="I37" i="2"/>
  <c r="J37" i="2"/>
  <c r="I36" i="2"/>
  <c r="J36" i="2"/>
  <c r="D20" i="2"/>
  <c r="D19" i="2"/>
  <c r="W57" i="2" l="1"/>
  <c r="W52" i="2"/>
  <c r="W56" i="2"/>
  <c r="W54" i="2"/>
  <c r="D17" i="2"/>
  <c r="J17" i="2" s="1"/>
  <c r="K17" i="2" s="1"/>
  <c r="D18" i="2"/>
  <c r="L78" i="2"/>
  <c r="M78" i="2"/>
  <c r="J18" i="2"/>
  <c r="K18" i="2" s="1"/>
  <c r="J25" i="2"/>
  <c r="K25" i="2" s="1"/>
  <c r="J22" i="2"/>
  <c r="K22" i="2" s="1"/>
  <c r="J24" i="2"/>
  <c r="K24" i="2" s="1"/>
  <c r="J29" i="2"/>
  <c r="K29" i="2" s="1"/>
  <c r="J28" i="2"/>
  <c r="K28" i="2" s="1"/>
  <c r="J27" i="2"/>
  <c r="K27" i="2" s="1"/>
  <c r="J23" i="2"/>
  <c r="K23" i="2" s="1"/>
  <c r="H43" i="2" s="1"/>
  <c r="K43" i="2" s="1"/>
  <c r="J26" i="2"/>
  <c r="K26" i="2" s="1"/>
  <c r="H47" i="2" s="1"/>
  <c r="Y53" i="2" l="1"/>
  <c r="X53" i="2"/>
  <c r="Y55" i="2"/>
  <c r="X55" i="2"/>
  <c r="W55" i="2"/>
  <c r="W53" i="2"/>
  <c r="W59" i="2" s="1"/>
  <c r="U61" i="2" s="1"/>
  <c r="X56" i="2"/>
  <c r="Y56" i="2"/>
  <c r="J19" i="2"/>
  <c r="K19" i="2" s="1"/>
  <c r="X54" i="2"/>
  <c r="Y54" i="2"/>
  <c r="J20" i="2"/>
  <c r="K20" i="2" s="1"/>
  <c r="J16" i="2"/>
  <c r="K16" i="2" s="1"/>
  <c r="H76" i="2"/>
  <c r="H79" i="2"/>
  <c r="H78" i="2"/>
  <c r="H77" i="2"/>
  <c r="H83" i="2"/>
  <c r="H85" i="2"/>
  <c r="H84" i="2"/>
  <c r="H82" i="2"/>
  <c r="H81" i="2"/>
  <c r="H80" i="2"/>
  <c r="J30" i="2"/>
  <c r="K30" i="2" s="1"/>
  <c r="J21" i="2"/>
  <c r="K21" i="2" s="1"/>
  <c r="H41" i="2"/>
  <c r="H40" i="2"/>
  <c r="H49" i="2"/>
  <c r="H50" i="2"/>
  <c r="K50" i="2" s="1"/>
  <c r="K54" i="2" s="1"/>
  <c r="J47" i="2"/>
  <c r="I47" i="2"/>
  <c r="J43" i="2"/>
  <c r="I43" i="2"/>
  <c r="H46" i="2"/>
  <c r="H44" i="2"/>
  <c r="H48" i="2"/>
  <c r="H42" i="2"/>
  <c r="H45" i="2"/>
  <c r="H52" i="2"/>
  <c r="H51" i="2"/>
  <c r="H53" i="2"/>
  <c r="H39" i="2"/>
  <c r="H38" i="2"/>
  <c r="Y58" i="2" l="1"/>
  <c r="X58" i="2"/>
  <c r="X59" i="2" s="1"/>
  <c r="H86" i="2"/>
  <c r="Y59" i="2"/>
  <c r="U62" i="2" s="1"/>
  <c r="N84" i="2"/>
  <c r="P84" i="2"/>
  <c r="O84" i="2"/>
  <c r="O82" i="2"/>
  <c r="P82" i="2"/>
  <c r="N82" i="2"/>
  <c r="P85" i="2"/>
  <c r="O85" i="2"/>
  <c r="N85" i="2"/>
  <c r="N79" i="2"/>
  <c r="P79" i="2"/>
  <c r="O79" i="2"/>
  <c r="P78" i="2"/>
  <c r="O78" i="2"/>
  <c r="N78" i="2"/>
  <c r="P80" i="2"/>
  <c r="O80" i="2"/>
  <c r="N80" i="2"/>
  <c r="P76" i="2"/>
  <c r="O76" i="2"/>
  <c r="N76" i="2"/>
  <c r="P83" i="2"/>
  <c r="O83" i="2"/>
  <c r="N83" i="2"/>
  <c r="O77" i="2"/>
  <c r="P77" i="2"/>
  <c r="N77" i="2"/>
  <c r="P81" i="2"/>
  <c r="O81" i="2"/>
  <c r="N81" i="2"/>
  <c r="I39" i="2"/>
  <c r="J39" i="2"/>
  <c r="J44" i="2"/>
  <c r="I44" i="2"/>
  <c r="J46" i="2"/>
  <c r="I46" i="2"/>
  <c r="I51" i="2"/>
  <c r="J51" i="2"/>
  <c r="I49" i="2"/>
  <c r="J49" i="2"/>
  <c r="J38" i="2"/>
  <c r="I38" i="2"/>
  <c r="J52" i="2"/>
  <c r="I52" i="2"/>
  <c r="I42" i="2"/>
  <c r="J42" i="2"/>
  <c r="J40" i="2"/>
  <c r="I40" i="2"/>
  <c r="J53" i="2"/>
  <c r="I53" i="2"/>
  <c r="I50" i="2"/>
  <c r="J50" i="2"/>
  <c r="I45" i="2"/>
  <c r="J45" i="2"/>
  <c r="J48" i="2"/>
  <c r="I48" i="2"/>
  <c r="I41" i="2"/>
  <c r="J41" i="2"/>
  <c r="P86" i="2" l="1"/>
  <c r="N86" i="2"/>
  <c r="D88" i="2" s="1"/>
  <c r="D89" i="2" s="1"/>
  <c r="O86" i="2"/>
  <c r="I54" i="2"/>
  <c r="D58" i="2" s="1"/>
  <c r="J54" i="2"/>
  <c r="D56" i="2" s="1"/>
  <c r="D57" i="2" s="1"/>
  <c r="D59" i="2"/>
  <c r="D91" i="2" l="1"/>
  <c r="D90" i="2"/>
</calcChain>
</file>

<file path=xl/sharedStrings.xml><?xml version="1.0" encoding="utf-8"?>
<sst xmlns="http://schemas.openxmlformats.org/spreadsheetml/2006/main" count="177" uniqueCount="151">
  <si>
    <t>Courier</t>
  </si>
  <si>
    <t>Reparables</t>
  </si>
  <si>
    <t xml:space="preserve">Porcentaje </t>
  </si>
  <si>
    <t>S</t>
  </si>
  <si>
    <t>Plazo_de_devolución</t>
  </si>
  <si>
    <t>Tasa_de_productos_dañados</t>
  </si>
  <si>
    <t xml:space="preserve">Volumen_mensual </t>
  </si>
  <si>
    <t>Retiro_en_tienda</t>
  </si>
  <si>
    <t>Comisión_pasarela</t>
  </si>
  <si>
    <t>Rechazo_Gerencial</t>
  </si>
  <si>
    <t>Dado_de_baja</t>
  </si>
  <si>
    <t>Tasa_de_reproceso</t>
  </si>
  <si>
    <t>Horas_Jornada_completa</t>
  </si>
  <si>
    <t>Admisible</t>
  </si>
  <si>
    <t xml:space="preserve">Aporte </t>
  </si>
  <si>
    <t xml:space="preserve">Dia1 </t>
  </si>
  <si>
    <t xml:space="preserve">Dia2 </t>
  </si>
  <si>
    <t>Total</t>
  </si>
  <si>
    <t>Parametro</t>
  </si>
  <si>
    <t>Valor</t>
  </si>
  <si>
    <t>Porcentaje</t>
  </si>
  <si>
    <t>Aporte</t>
  </si>
  <si>
    <t>Concepto</t>
  </si>
  <si>
    <t xml:space="preserve">p_adm </t>
  </si>
  <si>
    <t>p_plazo</t>
  </si>
  <si>
    <t>p_U</t>
  </si>
  <si>
    <t>p_bajoU</t>
  </si>
  <si>
    <t>p_cont</t>
  </si>
  <si>
    <t>Casos</t>
  </si>
  <si>
    <t>Rechazadas por plazo</t>
  </si>
  <si>
    <t>Admisibles</t>
  </si>
  <si>
    <t>Retiros por courier</t>
  </si>
  <si>
    <t>Dados de baja</t>
  </si>
  <si>
    <t>Casos con reproceso</t>
  </si>
  <si>
    <t xml:space="preserve">Monto1 </t>
  </si>
  <si>
    <t>Monto2</t>
  </si>
  <si>
    <t>sobreU</t>
  </si>
  <si>
    <t>Probabilidad</t>
  </si>
  <si>
    <t>Umbral_Gerencial</t>
  </si>
  <si>
    <t>Dias_habiles</t>
  </si>
  <si>
    <t>Rama</t>
  </si>
  <si>
    <t>Solicitudes recibidas</t>
  </si>
  <si>
    <t>Rechazadas por la gerencia</t>
  </si>
  <si>
    <t>Aprobadas por la gerencia</t>
  </si>
  <si>
    <t>Admisibles bajo el umbral</t>
  </si>
  <si>
    <t>Continúan a retiro</t>
  </si>
  <si>
    <t>Productos dañados</t>
  </si>
  <si>
    <t>Reembolsos emitidos</t>
  </si>
  <si>
    <t>Control</t>
  </si>
  <si>
    <t xml:space="preserve"> Autorización gerencial</t>
  </si>
  <si>
    <t>Reingreso a stock</t>
  </si>
  <si>
    <t>Reparables a taller</t>
  </si>
  <si>
    <t>Actividad</t>
  </si>
  <si>
    <t>Trabajo_min</t>
  </si>
  <si>
    <t>Espera_h</t>
  </si>
  <si>
    <t>Rol</t>
  </si>
  <si>
    <t>Tarifa</t>
  </si>
  <si>
    <t>HorasPersona</t>
  </si>
  <si>
    <t>CostoLaboral</t>
  </si>
  <si>
    <t>Registrar la solicitud</t>
  </si>
  <si>
    <t>Ejecutivo N1</t>
  </si>
  <si>
    <t>Verificar boleta y plazo</t>
  </si>
  <si>
    <t>Pedir fotos al cliente</t>
  </si>
  <si>
    <t>Revisar y autorizar</t>
  </si>
  <si>
    <t>Supervisor</t>
  </si>
  <si>
    <t>Solicitar aprobacion gerencial</t>
  </si>
  <si>
    <t>Resolver la aprobacion</t>
  </si>
  <si>
    <t>Gerente Comercial</t>
  </si>
  <si>
    <t>Agendar el retiro</t>
  </si>
  <si>
    <t>Traslado del courier</t>
  </si>
  <si>
    <t>Andesexpress</t>
  </si>
  <si>
    <t>Zona de pendientes</t>
  </si>
  <si>
    <t>Sin rol</t>
  </si>
  <si>
    <t>Inspeccionar</t>
  </si>
  <si>
    <t>Operario de bodega</t>
  </si>
  <si>
    <t>Digitar en WMS y avisar</t>
  </si>
  <si>
    <t>Reacondicionar en taller</t>
  </si>
  <si>
    <t>Tecnico de taller</t>
  </si>
  <si>
    <t>Revalidar en Finanzas</t>
  </si>
  <si>
    <t>Analista de Finanzas</t>
  </si>
  <si>
    <t>Emitir el reembolso en lote</t>
  </si>
  <si>
    <t>Procesar pasarela</t>
  </si>
  <si>
    <t>Pasarela</t>
  </si>
  <si>
    <t>Reproceso recaptura N1</t>
  </si>
  <si>
    <t>Reproceso recalculo Finanzas</t>
  </si>
  <si>
    <t>Reproceso espera del cliente</t>
  </si>
  <si>
    <t>Costo mensual del proceso</t>
  </si>
  <si>
    <t>Costo por solicitud recibida</t>
  </si>
  <si>
    <t>FTE equivalentes</t>
  </si>
  <si>
    <t>Costo de terceros</t>
  </si>
  <si>
    <t>Codigo</t>
  </si>
  <si>
    <t>A</t>
  </si>
  <si>
    <t>B</t>
  </si>
  <si>
    <t>C</t>
  </si>
  <si>
    <t>G</t>
  </si>
  <si>
    <t>E1</t>
  </si>
  <si>
    <t>E2</t>
  </si>
  <si>
    <t>T</t>
  </si>
  <si>
    <t>F</t>
  </si>
  <si>
    <t>R</t>
  </si>
  <si>
    <t>Traza</t>
  </si>
  <si>
    <t>Descripcion</t>
  </si>
  <si>
    <t>Ciclo_h</t>
  </si>
  <si>
    <t>Ciclo_dias</t>
  </si>
  <si>
    <t>IEC</t>
  </si>
  <si>
    <t>Prob_x_Ciclo</t>
  </si>
  <si>
    <t>Prob_x_Trabajo_h</t>
  </si>
  <si>
    <t>T1</t>
  </si>
  <si>
    <t>Rechazo por plazo</t>
  </si>
  <si>
    <t>T2</t>
  </si>
  <si>
    <t>Rechazo gerencial</t>
  </si>
  <si>
    <t>T3</t>
  </si>
  <si>
    <t>Sin gerencia, sin taller, sin reproceso</t>
  </si>
  <si>
    <t>T4</t>
  </si>
  <si>
    <t>Sin gerencia, sin taller, con reproceso</t>
  </si>
  <si>
    <t>T5</t>
  </si>
  <si>
    <t>Sin gerencia, con taller, sin reproceso</t>
  </si>
  <si>
    <t>T6</t>
  </si>
  <si>
    <t>Sin gerencia, con taller, con reproceso</t>
  </si>
  <si>
    <t>T7</t>
  </si>
  <si>
    <t>Con gerencia, sin taller, sin reproceso</t>
  </si>
  <si>
    <t>T8</t>
  </si>
  <si>
    <t>Con gerencia, sin taller, con reproceso</t>
  </si>
  <si>
    <t>T9</t>
  </si>
  <si>
    <t>Con gerencia, con taller, sin reproceso</t>
  </si>
  <si>
    <t>T10</t>
  </si>
  <si>
    <t>Con gerencia, con taller, con reproceso</t>
  </si>
  <si>
    <t>Ciclo promedio ponderado (h)</t>
  </si>
  <si>
    <t>Ciclo promedio (dias)</t>
  </si>
  <si>
    <t>Trabajo promedio (h)</t>
  </si>
  <si>
    <t>Indice de eficiencia del ciclo</t>
  </si>
  <si>
    <t>Problema</t>
  </si>
  <si>
    <t>Tipo</t>
  </si>
  <si>
    <t>Evidencia_ASIS</t>
  </si>
  <si>
    <t>Delta_Ciclo_h</t>
  </si>
  <si>
    <t>HorasPersona_mes</t>
  </si>
  <si>
    <t>Pesos_mes</t>
  </si>
  <si>
    <t>Espera</t>
  </si>
  <si>
    <t>Evento de espera de 84 h antes de la tarea Emitir el reembolso, en el lane de Finanzas</t>
  </si>
  <si>
    <t>Control redundante</t>
  </si>
  <si>
    <t>La misma verificacion aparece en tres lanes: Atencion N1, Supervisor y Finanzas</t>
  </si>
  <si>
    <t>Reproceso</t>
  </si>
  <si>
    <t>Compuerta de discrepancia tras Revalidar, con retorno al lane de Atencion N1</t>
  </si>
  <si>
    <t>Decision tardia</t>
  </si>
  <si>
    <t>Compuerta de monto seguida de flujo de mensaje al pool de Gerencia, bloqueando el retiro</t>
  </si>
  <si>
    <t>Traspaso manual</t>
  </si>
  <si>
    <t>Tareas Inspeccionar y Digitar en WMS separadas por una espera de 12 h en el lane de Bodega</t>
  </si>
  <si>
    <t>Eventos de espera de 18 h y 24 h sin tarea asociada</t>
  </si>
  <si>
    <t>La compuerta de plazo aparece despues de Registrar la solicitud en vez de antes</t>
  </si>
  <si>
    <t>Porcentaje del ciclo explicado</t>
  </si>
  <si>
    <t>Porcentaje del costo explicado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</si>
</sst>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&quot;$&quot;#,##0;\(&quot;$&quot;#,##0\);&quot;-&quot;"/>
    <numFmt numFmtId="166" formatCode="0.0000"/>
  </numFmts>
  <fonts count="3" x14ac:knownFonts="1">
    <font>
      <sz val="12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9" fontId="0" fillId="0" borderId="0" xfId="0" applyNumberFormat="1"/>
    <xf numFmtId="0" fontId="1" fillId="0" borderId="0" xfId="0" applyFont="1"/>
    <xf numFmtId="9" fontId="1" fillId="0" borderId="0" xfId="0" applyNumberFormat="1" applyFont="1"/>
    <xf numFmtId="164" fontId="0" fillId="0" borderId="0" xfId="0" applyNumberFormat="1"/>
    <xf numFmtId="165" fontId="0" fillId="0" borderId="0" xfId="0" applyNumberFormat="1"/>
    <xf numFmtId="10" fontId="0" fillId="0" borderId="0" xfId="0" applyNumberFormat="1"/>
    <xf numFmtId="166" fontId="0" fillId="0" borderId="0" xfId="0" applyNumberFormat="1"/>
  </cellXfs>
  <cellStyles count="1">
    <cellStyle name="Normal" xfId="0" builtinId="0"/>
  </cellStyles>
  <dxfs count="26">
    <dxf>
      <numFmt numFmtId="165" formatCode="&quot;$&quot;#,##0;\(&quot;$&quot;#,##0\);&quot;-&quot;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4" formatCode="0.00%"/>
    </dxf>
    <dxf>
      <numFmt numFmtId="166" formatCode="0.0000"/>
    </dxf>
    <dxf>
      <numFmt numFmtId="165" formatCode="&quot;$&quot;#,##0;\(&quot;$&quot;#,##0\);&quot;-&quot;"/>
    </dxf>
    <dxf>
      <numFmt numFmtId="165" formatCode="&quot;$&quot;#,##0;\(&quot;$&quot;#,##0\);&quot;-&quot;"/>
    </dxf>
    <dxf>
      <numFmt numFmtId="164" formatCode="0.0"/>
    </dxf>
    <dxf>
      <numFmt numFmtId="165" formatCode="&quot;$&quot;#,##0;\(&quot;$&quot;#,##0\);&quot;-&quot;"/>
    </dxf>
    <dxf>
      <numFmt numFmtId="165" formatCode="&quot;$&quot;#,##0;\(&quot;$&quot;#,##0\);&quot;-&quot;"/>
    </dxf>
    <dxf>
      <numFmt numFmtId="164" formatCode="0.0"/>
    </dxf>
    <dxf>
      <numFmt numFmtId="164" formatCode="0.0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numFmt numFmtId="0" formatCode="General"/>
    </dxf>
    <dxf>
      <numFmt numFmtId="13" formatCode="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31B796F-6EA7-BF4D-B288-0D973D0FEB80}" name="Parametros" displayName="Parametros" ref="A4:B19" totalsRowShown="0">
  <autoFilter ref="A4:B19" xr:uid="{831B796F-6EA7-BF4D-B288-0D973D0FEB80}"/>
  <tableColumns count="2">
    <tableColumn id="1" xr3:uid="{AE24A2CE-C550-1C46-9C6C-FD3718143674}" name="Parametro"/>
    <tableColumn id="2" xr3:uid="{777E468D-2431-5947-9ABD-91B0FA28F1F1}" name="Valor" dataDxfId="2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FC63EE4-8999-3B47-9764-D67813965433}" name="Distribuciones" displayName="Distribuciones" ref="C5:G11" totalsRowCount="1">
  <autoFilter ref="C5:G10" xr:uid="{9FC63EE4-8999-3B47-9764-D67813965433}"/>
  <tableColumns count="5">
    <tableColumn id="1" xr3:uid="{2DDC35E6-0E2E-044F-8AF0-E81554259F29}" name="Dia1 " totalsRowLabel="Total"/>
    <tableColumn id="2" xr3:uid="{42B68211-ADB0-AB41-ACB5-37A76C185472}" name="Dia2 "/>
    <tableColumn id="3" xr3:uid="{AFE98DC0-D4E5-324C-8519-FB1ED91768DF}" name="Porcentaje " dataDxfId="24"/>
    <tableColumn id="4" xr3:uid="{D513492A-0943-EF4C-9CBD-6C493F555EAE}" name="Admisible" dataDxfId="23">
      <calculatedColumnFormula>IF(Distribuciones[[#This Row],[Dia2 ]]&lt;=_xlfn.XLOOKUP("Plazo_de_devolución",Parametros[Parametro],Parametros[Valor]),1,0)</calculatedColumnFormula>
    </tableColumn>
    <tableColumn id="5" xr3:uid="{CFD23C54-CBAA-2B4D-93BC-6222E300AC61}" name="Aporte " totalsRowFunction="sum" dataDxfId="22">
      <calculatedColumnFormula>Distribuciones[[#This Row],[Porcentaje ]]*Distribuciones[[#This Row],[Admisible]]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473C4D9-91EA-E240-B9EA-6C84741CE163}" name="Montos" displayName="Montos" ref="I5:M11" totalsRowCount="1">
  <autoFilter ref="I5:M10" xr:uid="{3473C4D9-91EA-E240-B9EA-6C84741CE163}"/>
  <tableColumns count="5">
    <tableColumn id="1" xr3:uid="{B9663980-EEA1-4B4B-89D8-B832C020AB44}" name="Monto1 " totalsRowLabel="Total"/>
    <tableColumn id="2" xr3:uid="{43416715-0016-0B47-997E-4226C864FA34}" name="Monto2"/>
    <tableColumn id="3" xr3:uid="{E57F167A-4AC5-A644-BA7B-934AC6BD0E9A}" name="Porcentaje" dataDxfId="21"/>
    <tableColumn id="4" xr3:uid="{387CB638-10DC-6B46-A183-852F0E02DBD3}" name="sobreU" dataDxfId="18">
      <calculatedColumnFormula>MAX(0,MIN(1,(Montos[[#This Row],[Monto2]]-_xlfn.XLOOKUP("Umbral_Gerencial",Parametros[Parametro],Parametros[Valor]))/(Montos[[#This Row],[Monto2]]-Montos[[#This Row],[Monto1 ]])))</calculatedColumnFormula>
    </tableColumn>
    <tableColumn id="5" xr3:uid="{2360F26D-CF64-2644-8614-E5EDA42B681B}" name="Aporte" totalsRowFunction="sum" dataDxfId="20">
      <calculatedColumnFormula>Montos[[#This Row],[Porcentaje]]*Montos[[#This Row],[sobreU]]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7DF6F6D-6008-7F48-9F2F-66EC64EE0EB6}" name="Probabilidades" displayName="Probabilidades" ref="C16:D21" totalsRowShown="0">
  <autoFilter ref="C16:D21" xr:uid="{B7DF6F6D-6008-7F48-9F2F-66EC64EE0EB6}"/>
  <tableColumns count="2">
    <tableColumn id="1" xr3:uid="{97FB9429-6035-F644-8CF3-8F818C6997A1}" name="Concepto"/>
    <tableColumn id="2" xr3:uid="{2231E1BA-44D4-B748-BA49-BE7E219E9CEC}" name="Valor" dataDxfId="19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4A7DB1A-8C4C-914E-8D73-ADB9EE8E9A64}" name="Volumenes" displayName="Volumenes" ref="I14:K30" totalsRowShown="0">
  <autoFilter ref="I14:K30" xr:uid="{94A7DB1A-8C4C-914E-8D73-ADB9EE8E9A64}"/>
  <tableColumns count="3">
    <tableColumn id="1" xr3:uid="{1D19B6DD-313C-B24E-AE97-0162E6CE52D9}" name="Rama"/>
    <tableColumn id="2" xr3:uid="{C3C11859-BA4A-E747-A897-DAFAADD98869}" name="Probabilidad"/>
    <tableColumn id="3" xr3:uid="{26714CD2-563D-C041-8A63-B6CC4A6D6D66}" name="Casos" dataDxfId="17">
      <calculatedColumnFormula>J15*_xlfn.XLOOKUP("Volumen_mensual ",Parametros[Parametro],Parametros[Valor])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8FAFA84-1995-9940-B4A7-06BC51914E5F}" name="Actividades" displayName="Actividades" ref="C35:K54" totalsRowCount="1">
  <autoFilter ref="C35:K53" xr:uid="{F8FAFA84-1995-9940-B4A7-06BC51914E5F}"/>
  <tableColumns count="9">
    <tableColumn id="1" xr3:uid="{CAC85A68-7FAE-7549-9E1D-50942B9F391C}" name="Actividad" totalsRowLabel="Total"/>
    <tableColumn id="2" xr3:uid="{AFE550DC-4D47-FC42-915C-B2F7067FA006}" name="Trabajo_min"/>
    <tableColumn id="3" xr3:uid="{10E6F4B2-EF7E-E645-BE31-BF1276F03576}" name="Espera_h"/>
    <tableColumn id="4" xr3:uid="{E7543858-DCD9-3842-9291-0C4F2AB6A5A7}" name="Rol"/>
    <tableColumn id="5" xr3:uid="{2958DFC5-7F9E-6E45-9EDD-2C8DDE6B562B}" name="Tarifa"/>
    <tableColumn id="6" xr3:uid="{03861ECC-0F42-6C4C-8B95-659E0466F4A0}" name="Casos"/>
    <tableColumn id="7" xr3:uid="{D9657E0B-1591-7349-B19B-BF08BFD215B9}" name="HorasPersona" totalsRowFunction="sum" dataDxfId="16" totalsRowDxfId="13">
      <calculatedColumnFormula>Actividades[[#This Row],[Trabajo_min]]*Actividades[[#This Row],[Casos]]/60</calculatedColumnFormula>
    </tableColumn>
    <tableColumn id="8" xr3:uid="{47E79090-31B6-B441-BD49-F5097D3A1D82}" name="CostoLaboral" totalsRowFunction="sum" dataDxfId="15" totalsRowDxfId="14">
      <calculatedColumnFormula>Actividades[[#This Row],[Trabajo_min]]/60*Actividades[[#This Row],[Tarifa]]*Actividades[[#This Row],[Casos]]</calculatedColumnFormula>
    </tableColumn>
    <tableColumn id="11" xr3:uid="{DBC9412D-AC26-014B-90B8-D8BF2B896C22}" name="Costo de terceros" totalsRowFunction="sum" dataDxfId="11" totalsRowDxfId="12">
      <calculatedColumnFormula>IF(Actividades[[#This Row],[Actividad]]="Traslado del courier",Actividades[[#This Row],[Casos]]*_xlfn.XLOOKUP("Courier",Parametros[Parametro],Parametros[Valor]),IF(Actividades[[#This Row],[Actividad]]="Procesar pasarela",Actividades[[#This Row],[Casos]]*_xlfn.XLOOKUP("Comisión_pasarela",Parametros[Parametro],Parametros[Valor]),0))</calculatedColumnFormula>
    </tableColumn>
  </tableColumns>
  <tableStyleInfo name="TableStyleMedium6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3F26737-2509-AD4B-BE66-B94759F0A781}" name="Bloques" displayName="Bloques" ref="C63:E72" totalsRowShown="0">
  <autoFilter ref="C63:E72" xr:uid="{83F26737-2509-AD4B-BE66-B94759F0A781}"/>
  <tableColumns count="3">
    <tableColumn id="1" xr3:uid="{ECA229CC-DC74-2D4E-AE90-38156CD88BFB}" name="Codigo"/>
    <tableColumn id="2" xr3:uid="{29A2B430-8014-E748-8733-D810828A753B}" name="Trabajo_min"/>
    <tableColumn id="3" xr3:uid="{D23BDA05-0E49-E640-9291-22627D090AFD}" name="Espera_h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F2777B8-90D7-9941-9EAA-9F2BA1D23469}" name="Trazas" displayName="Trazas" ref="C75:P86" totalsRowCount="1">
  <autoFilter ref="C75:P85" xr:uid="{1F2777B8-90D7-9941-9EAA-9F2BA1D23469}"/>
  <tableColumns count="14">
    <tableColumn id="1" xr3:uid="{F0002223-A433-2E45-9130-54086D917F79}" name="Traza" totalsRowLabel="Total"/>
    <tableColumn id="2" xr3:uid="{6EA81E06-C2BB-4945-8A33-B110E6F2B8C7}" name="Descripcion"/>
    <tableColumn id="3" xr3:uid="{329B28EA-6516-5B4A-9C43-634DA135B460}" name="G"/>
    <tableColumn id="4" xr3:uid="{793C0CF7-1B1D-6A4A-BBE3-948DCCFB4387}" name="T"/>
    <tableColumn id="5" xr3:uid="{DC2A1ECD-952D-8345-8028-B2799171A6F2}" name="R"/>
    <tableColumn id="6" xr3:uid="{07EAA305-75D6-2842-B241-ACF5D4DAC4D2}" name="Probabilidad" totalsRowFunction="sum" dataDxfId="10">
      <calculatedColumnFormula>_xlfn.XLOOKUP("p_adm ",Probabilidades[Concepto],Probabilidades[Valor])*IF(Trazas[[#This Row],[G]]=1,_xlfn.XLOOKUP("p_U",Probabilidades[Concepto],Probabilidades[Valor])*(1-_xlfn.XLOOKUP("Rechazo_Gerencial",Parametros[Parametro],Parametros[Valor])),1-_xlfn.XLOOKUP("p_U",Probabilidades[Concepto],Probabilidades[Valor]))*IF(Trazas[[#This Row],[T]]=1,_xlfn.XLOOKUP("Tasa_de_productos_dañados",Parametros[Parametro],Parametros[Valor])*_xlfn.XLOOKUP("Reparables",Parametros[Parametro],Parametros[Valor]),1-_xlfn.XLOOKUP("Tasa_de_productos_dañados",Parametros[Parametro],Parametros[Valor])*_xlfn.XLOOKUP("Reparables",Parametros[Parametro],Parametros[Valor]))*IF(Trazas[[#This Row],[R]]=1,_xlfn.XLOOKUP("Tasa_de_reproceso",Parametros[Parametro],Parametros[Valor]),1-_xlfn.XLOOKUP("Tasa_de_reproceso",Parametros[Parametro],Parametros[Valor]))</calculatedColumnFormula>
    </tableColumn>
    <tableColumn id="7" xr3:uid="{22B5446F-A1CC-8247-9516-F9A91C5EA11C}" name="Trabajo_min"/>
    <tableColumn id="8" xr3:uid="{41818F8B-4269-F644-8CE8-3BD2888D4B7D}" name="Espera_h" dataDxfId="8">
      <calculatedColumnFormula>_xlfn.XLOOKUP("A",Bloques[Codigo],Bloques[Espera_h])+_xlfn.XLOOKUP("B",Bloques[Codigo],Bloques[Espera_h])+_xlfn.XLOOKUP("C",Bloques[Codigo],Bloques[Espera_h])+_xlfn.XLOOKUP("G",Bloques[Codigo],Bloques[Espera_h])</calculatedColumnFormula>
    </tableColumn>
    <tableColumn id="9" xr3:uid="{A952FEB4-8B29-D44E-B768-72275B75149A}" name="Ciclo_h" dataDxfId="7">
      <calculatedColumnFormula>Trazas[[#This Row],[Trabajo_min]]/60+Trazas[[#This Row],[Espera_h]]</calculatedColumnFormula>
    </tableColumn>
    <tableColumn id="10" xr3:uid="{C17BEE93-875D-204C-9ABC-9E686334B008}" name="Ciclo_dias" dataDxfId="6">
      <calculatedColumnFormula>Trazas[[#This Row],[Ciclo_h]]/24</calculatedColumnFormula>
    </tableColumn>
    <tableColumn id="11" xr3:uid="{0870A450-A1BB-C943-83C4-0168BB7D8528}" name="IEC" dataDxfId="9">
      <calculatedColumnFormula>(Trazas[[#This Row],[Trabajo_min]]/60)/Trazas[[#This Row],[Ciclo_h]]</calculatedColumnFormula>
    </tableColumn>
    <tableColumn id="12" xr3:uid="{CA317636-6257-0646-AA12-B1F3830E4442}" name="Prob_x_Ciclo" totalsRowFunction="sum" dataDxfId="5">
      <calculatedColumnFormula>Trazas[[#This Row],[Probabilidad]]*Trazas[[#This Row],[Ciclo_h]]</calculatedColumnFormula>
    </tableColumn>
    <tableColumn id="13" xr3:uid="{21291383-5760-CE47-A090-6DA2B7DCE73D}" name="Prob_x_Trabajo_h" totalsRowFunction="sum" dataDxfId="4">
      <calculatedColumnFormula>Trazas[[#This Row],[Probabilidad]]*Trazas[[#This Row],[Trabajo_min]]/60</calculatedColumnFormula>
    </tableColumn>
    <tableColumn id="14" xr3:uid="{E50E3DB6-5687-DA4C-9346-E41EA66F4550}" name="Casos" totalsRowFunction="sum" dataDxfId="3">
      <calculatedColumnFormula>Trazas[[#This Row],[Probabilidad]]*_xlfn.XLOOKUP("Volumen_mensual ",Parametros[Parametro],Parametros[Valor])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E2659906-B992-FE4A-A53A-DB823DEDBD77}" name="Diagnostico" displayName="Diagnostico" ref="T51:Y59" totalsRowCount="1">
  <autoFilter ref="T51:Y58" xr:uid="{E2659906-B992-FE4A-A53A-DB823DEDBD77}"/>
  <tableColumns count="6">
    <tableColumn id="1" xr3:uid="{895AA179-CE78-9C42-96A0-15901D50D3CE}" name="Problema" totalsRowLabel="Total"/>
    <tableColumn id="2" xr3:uid="{BECAD1A4-6FF3-9445-8DCE-D1448C764779}" name="Tipo"/>
    <tableColumn id="3" xr3:uid="{E1255CEE-A2FC-EE43-ACFA-B73E76EA1B59}" name="Evidencia_ASIS"/>
    <tableColumn id="4" xr3:uid="{A2B24201-E7A7-7446-AEA1-9E643FA34D6E}" name="Delta_Ciclo_h" totalsRowFunction="sum" dataDxfId="2">
      <calculatedColumnFormula>IF(Diagnostico[[#This Row],[Problema]]=1,84*_xlfn.XLOOKUP("p_cont",Probabilidades[Concepto],Probabilidades[Valor]),IF(Diagnostico[[#This Row],[Problema]]=2,6*_xlfn.XLOOKUP("p_adm ",Probabilidades[Concepto],Probabilidades[Valor])+6*_xlfn.XLOOKUP("p_cont",Probabilidades[Concepto],Probabilidades[Valor]),IF(Diagnostico[[#This Row],[Problema]]=3,24*_xlfn.XLOOKUP("Tasa_de_reproceso",Parametros[Parametro],Parametros[Valor])*_xlfn.XLOOKUP("p_cont",Probabilidades[Concepto],Probabilidades[Valor]),IF(Diagnostico[[#This Row],[Problema]]=4,52*_xlfn.XLOOKUP("p_adm ",Probabilidades[Concepto],Probabilidades[Valor])*_xlfn.XLOOKUP("p_U",Probabilidades[Concepto],Probabilidades[Valor]),IF(Diagnostico[[#This Row],[Problema]]=5,20*_xlfn.XLOOKUP("p_cont",Probabilidades[Concepto],Probabilidades[Valor]),IF(Diagnostico[[#This Row],[Problema]]=6,42*_xlfn.XLOOKUP("p_cont",Probabilidades[Concepto],Probabilidades[Valor]),0))))))</calculatedColumnFormula>
    </tableColumn>
    <tableColumn id="5" xr3:uid="{E6B23249-D793-0D42-AF27-9C2665837D17}" name="HorasPersona_mes" totalsRowFunction="sum" dataDxfId="1">
      <calculatedColumnFormula>IF(Diagnostico[[#This Row],[Problema]]=1,0,IF(Diagnostico[[#This Row],[Problema]]=2,10/60*_xlfn.XLOOKUP("Admisibles",Volumenes[Rama],Volumenes[Casos])+9/60*_xlfn.XLOOKUP("Continúan a retiro",Volumenes[Rama],Volumenes[Casos]),IF(Diagnostico[[#This Row],[Problema]]=3,(22+15)/60*_xlfn.XLOOKUP("Casos con reproceso",Volumenes[Rama],Volumenes[Casos]),IF(Diagnostico[[#This Row],[Problema]]=4,(6+8)/60*_xlfn.XLOOKUP(" Autorización gerencial",Volumenes[Rama],Volumenes[Casos]),IF(Diagnostico[[#This Row],[Problema]]=5,10/60*_xlfn.XLOOKUP("Continúan a retiro",Volumenes[Rama],Volumenes[Casos]),IF(Diagnostico[[#This Row],[Problema]]=6,0,20/60*_xlfn.XLOOKUP("Rechazadas por plazo",Volumenes[Rama],Volumenes[Casos])))))))</calculatedColumnFormula>
    </tableColumn>
    <tableColumn id="6" xr3:uid="{67545F52-FE07-9948-92F4-878F9281D6D8}" name="Pesos_mes" totalsRowFunction="sum" dataDxfId="0">
      <calculatedColumnFormula>IF(Diagnostico[[#This Row],[Problema]]=1,0,IF(Diagnostico[[#This Row],[Problema]]=2,10/60*11000*_xlfn.XLOOKUP("Admisibles",Volumenes[Rama],Volumenes[Casos])+9/60*9200*_xlfn.XLOOKUP("Continúan a retiro",Volumenes[Rama],Volumenes[Casos]),IF(Diagnostico[[#This Row],[Problema]]=3,(22/60*6500+15/60*9200)*_xlfn.XLOOKUP("Casos con reproceso",Volumenes[Rama],Volumenes[Casos]),IF(Diagnostico[[#This Row],[Problema]]=4,(6/60*6500+8/60*18000)*_xlfn.XLOOKUP(" Autorización gerencial",Volumenes[Rama],Volumenes[Casos]),IF(Diagnostico[[#This Row],[Problema]]=5,10/60*5800*_xlfn.XLOOKUP("Continúan a retiro",Volumenes[Rama],Volumenes[Casos]),IF(Diagnostico[[#This Row],[Problema]]=6,0,20/60*6500*_xlfn.XLOOKUP("Rechazadas por plazo",Volumenes[Rama],Volumenes[Casos])))))))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C5B65E63-6BBC-244D-8467-BF481F14881A}">
  <we:reference id="WA200009404" version="1.0.0.8" store="Omex" storeType="OMEX"/>
  <we:alternateReferences>
    <we:reference id="WA200009404" version="1.0.0.8" store="WA200009404" storeType="OMEX"/>
  </we:alternateReferences>
  <we:properties>
    <we:property name="claude.fileId" value="&quot;91a9550e-f07f-42c2-a8dd-72284f953c07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D68A36-1BAE-3744-8ECA-104C212ACC60}">
  <dimension ref="A4:B19"/>
  <sheetViews>
    <sheetView workbookViewId="0">
      <selection activeCell="A19" sqref="A19"/>
    </sheetView>
  </sheetViews>
  <sheetFormatPr baseColWidth="10" defaultRowHeight="16" x14ac:dyDescent="0.2"/>
  <cols>
    <col min="1" max="1" width="24.83203125" bestFit="1" customWidth="1"/>
    <col min="2" max="2" width="12" customWidth="1"/>
  </cols>
  <sheetData>
    <row r="4" spans="1:2" x14ac:dyDescent="0.2">
      <c r="A4" t="s">
        <v>18</v>
      </c>
      <c r="B4" t="s">
        <v>19</v>
      </c>
    </row>
    <row r="5" spans="1:2" x14ac:dyDescent="0.2">
      <c r="A5" t="s">
        <v>3</v>
      </c>
      <c r="B5">
        <v>418</v>
      </c>
    </row>
    <row r="6" spans="1:2" x14ac:dyDescent="0.2">
      <c r="A6" t="s">
        <v>38</v>
      </c>
      <c r="B6">
        <f>50000+1000*MOD(418,40)</f>
        <v>68000</v>
      </c>
    </row>
    <row r="7" spans="1:2" x14ac:dyDescent="0.2">
      <c r="A7" t="s">
        <v>4</v>
      </c>
      <c r="B7">
        <f>10 + MOD(418,3)*5</f>
        <v>15</v>
      </c>
    </row>
    <row r="8" spans="1:2" x14ac:dyDescent="0.2">
      <c r="A8" t="s">
        <v>5</v>
      </c>
      <c r="B8" s="1">
        <f>0.1 + 0.01*MOD(418,10)</f>
        <v>0.18</v>
      </c>
    </row>
    <row r="9" spans="1:2" x14ac:dyDescent="0.2">
      <c r="A9" t="s">
        <v>6</v>
      </c>
      <c r="B9">
        <f>200 + 3*MOD(418, 100)</f>
        <v>254</v>
      </c>
    </row>
    <row r="10" spans="1:2" x14ac:dyDescent="0.2">
      <c r="A10" t="s">
        <v>7</v>
      </c>
      <c r="B10">
        <f>MOD(418,2)</f>
        <v>0</v>
      </c>
    </row>
    <row r="12" spans="1:2" x14ac:dyDescent="0.2">
      <c r="A12" t="s">
        <v>0</v>
      </c>
      <c r="B12">
        <v>4900</v>
      </c>
    </row>
    <row r="13" spans="1:2" x14ac:dyDescent="0.2">
      <c r="A13" t="s">
        <v>8</v>
      </c>
      <c r="B13">
        <v>900</v>
      </c>
    </row>
    <row r="14" spans="1:2" x14ac:dyDescent="0.2">
      <c r="A14" t="s">
        <v>9</v>
      </c>
      <c r="B14" s="1">
        <v>0.08</v>
      </c>
    </row>
    <row r="15" spans="1:2" x14ac:dyDescent="0.2">
      <c r="A15" t="s">
        <v>1</v>
      </c>
      <c r="B15" s="1">
        <v>0.7</v>
      </c>
    </row>
    <row r="16" spans="1:2" x14ac:dyDescent="0.2">
      <c r="A16" t="s">
        <v>10</v>
      </c>
      <c r="B16" s="1">
        <v>0.3</v>
      </c>
    </row>
    <row r="17" spans="1:2" x14ac:dyDescent="0.2">
      <c r="A17" t="s">
        <v>11</v>
      </c>
      <c r="B17" s="1">
        <v>0.09</v>
      </c>
    </row>
    <row r="18" spans="1:2" x14ac:dyDescent="0.2">
      <c r="A18" t="s">
        <v>39</v>
      </c>
      <c r="B18">
        <v>20</v>
      </c>
    </row>
    <row r="19" spans="1:2" x14ac:dyDescent="0.2">
      <c r="A19" t="s">
        <v>12</v>
      </c>
      <c r="B19">
        <v>160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CD0FFF-7422-D247-BFC3-4BF478B25316}">
  <dimension ref="C1:Z91"/>
  <sheetViews>
    <sheetView tabSelected="1" zoomScale="50" workbookViewId="0">
      <selection activeCell="X66" sqref="X66"/>
    </sheetView>
  </sheetViews>
  <sheetFormatPr baseColWidth="10" defaultRowHeight="16" x14ac:dyDescent="0.2"/>
  <cols>
    <col min="1" max="1" width="3.1640625" bestFit="1" customWidth="1"/>
    <col min="2" max="2" width="10.1640625" customWidth="1"/>
    <col min="3" max="3" width="28" bestFit="1" customWidth="1"/>
    <col min="4" max="4" width="34.33203125" bestFit="1" customWidth="1"/>
    <col min="5" max="5" width="79" bestFit="1" customWidth="1"/>
    <col min="6" max="6" width="18" bestFit="1" customWidth="1"/>
    <col min="7" max="7" width="21.1640625" bestFit="1" customWidth="1"/>
    <col min="8" max="8" width="15.1640625" bestFit="1" customWidth="1"/>
    <col min="9" max="9" width="24.1640625" customWidth="1"/>
    <col min="10" max="10" width="15.83203125" bestFit="1" customWidth="1"/>
    <col min="11" max="11" width="19.33203125" bestFit="1" customWidth="1"/>
    <col min="12" max="12" width="13.5" bestFit="1" customWidth="1"/>
    <col min="13" max="13" width="10" bestFit="1" customWidth="1"/>
    <col min="14" max="14" width="15.1640625" bestFit="1" customWidth="1"/>
    <col min="15" max="15" width="18.83203125" bestFit="1" customWidth="1"/>
    <col min="16" max="16" width="9.83203125" bestFit="1" customWidth="1"/>
    <col min="20" max="20" width="28.1640625" customWidth="1"/>
    <col min="21" max="21" width="17.5" bestFit="1" customWidth="1"/>
    <col min="22" max="22" width="78.83203125" bestFit="1" customWidth="1"/>
    <col min="23" max="23" width="18.1640625" bestFit="1" customWidth="1"/>
    <col min="24" max="24" width="22.83203125" customWidth="1"/>
    <col min="25" max="25" width="15.83203125" bestFit="1" customWidth="1"/>
  </cols>
  <sheetData>
    <row r="1" spans="3:26" x14ac:dyDescent="0.2">
      <c r="Z1" t="e">
        <f>Trazas[[#This Row],[T]]</f>
        <v>#VALUE!</v>
      </c>
    </row>
    <row r="5" spans="3:26" x14ac:dyDescent="0.2">
      <c r="C5" t="s">
        <v>15</v>
      </c>
      <c r="D5" t="s">
        <v>16</v>
      </c>
      <c r="E5" t="s">
        <v>2</v>
      </c>
      <c r="F5" t="s">
        <v>13</v>
      </c>
      <c r="G5" t="s">
        <v>14</v>
      </c>
      <c r="I5" t="s">
        <v>34</v>
      </c>
      <c r="J5" t="s">
        <v>35</v>
      </c>
      <c r="K5" t="s">
        <v>20</v>
      </c>
      <c r="L5" t="s">
        <v>36</v>
      </c>
      <c r="M5" t="s">
        <v>21</v>
      </c>
    </row>
    <row r="6" spans="3:26" x14ac:dyDescent="0.2">
      <c r="C6">
        <v>0</v>
      </c>
      <c r="D6">
        <v>5</v>
      </c>
      <c r="E6" s="1">
        <v>0.3</v>
      </c>
      <c r="F6">
        <f>IF(Distribuciones[[#This Row],[Dia2 ]]&lt;=_xlfn.XLOOKUP("Plazo_de_devolución",Parametros[Parametro],Parametros[Valor]),1,0)</f>
        <v>1</v>
      </c>
      <c r="G6" s="1">
        <f>Distribuciones[[#This Row],[Porcentaje ]]*Distribuciones[[#This Row],[Admisible]]</f>
        <v>0.3</v>
      </c>
      <c r="I6">
        <v>20000</v>
      </c>
      <c r="J6">
        <v>60000</v>
      </c>
      <c r="K6" s="1">
        <v>0.2</v>
      </c>
      <c r="L6">
        <f>MAX(0,MIN(1,(Montos[[#This Row],[Monto2]]-_xlfn.XLOOKUP("Umbral_Gerencial",Parametros[Parametro],Parametros[Valor]))/(Montos[[#This Row],[Monto2]]-Montos[[#This Row],[Monto1 ]])))</f>
        <v>0</v>
      </c>
      <c r="M6">
        <f>Montos[[#This Row],[Porcentaje]]*Montos[[#This Row],[sobreU]]</f>
        <v>0</v>
      </c>
    </row>
    <row r="7" spans="3:26" x14ac:dyDescent="0.2">
      <c r="C7">
        <v>6</v>
      </c>
      <c r="D7">
        <v>10</v>
      </c>
      <c r="E7" s="1">
        <v>0.26</v>
      </c>
      <c r="F7">
        <f>IF(Distribuciones[[#This Row],[Dia2 ]]&lt;=_xlfn.XLOOKUP("Plazo_de_devolución",Parametros[Parametro],Parametros[Valor]),1,0)</f>
        <v>1</v>
      </c>
      <c r="G7" s="1">
        <f>Distribuciones[[#This Row],[Porcentaje ]]*Distribuciones[[#This Row],[Admisible]]</f>
        <v>0.26</v>
      </c>
      <c r="I7">
        <v>60000</v>
      </c>
      <c r="J7">
        <v>100000</v>
      </c>
      <c r="K7" s="1">
        <v>0.28000000000000003</v>
      </c>
      <c r="L7">
        <f>MAX(0,MIN(1,(Montos[[#This Row],[Monto2]]-_xlfn.XLOOKUP("Umbral_Gerencial",Parametros[Parametro],Parametros[Valor]))/(Montos[[#This Row],[Monto2]]-Montos[[#This Row],[Monto1 ]])))</f>
        <v>0.8</v>
      </c>
      <c r="M7">
        <f>Montos[[#This Row],[Porcentaje]]*Montos[[#This Row],[sobreU]]</f>
        <v>0.22400000000000003</v>
      </c>
    </row>
    <row r="8" spans="3:26" x14ac:dyDescent="0.2">
      <c r="C8">
        <v>11</v>
      </c>
      <c r="D8">
        <v>15</v>
      </c>
      <c r="E8" s="1">
        <v>0.18</v>
      </c>
      <c r="F8">
        <f>IF(Distribuciones[[#This Row],[Dia2 ]]&lt;=_xlfn.XLOOKUP("Plazo_de_devolución",Parametros[Parametro],Parametros[Valor]),1,0)</f>
        <v>1</v>
      </c>
      <c r="G8" s="1">
        <f>Distribuciones[[#This Row],[Porcentaje ]]*Distribuciones[[#This Row],[Admisible]]</f>
        <v>0.18</v>
      </c>
      <c r="I8">
        <v>100000</v>
      </c>
      <c r="J8">
        <v>150000</v>
      </c>
      <c r="K8" s="1">
        <v>0.24</v>
      </c>
      <c r="L8">
        <f>MAX(0,MIN(1,(Montos[[#This Row],[Monto2]]-_xlfn.XLOOKUP("Umbral_Gerencial",Parametros[Parametro],Parametros[Valor]))/(Montos[[#This Row],[Monto2]]-Montos[[#This Row],[Monto1 ]])))</f>
        <v>1</v>
      </c>
      <c r="M8">
        <f>Montos[[#This Row],[Porcentaje]]*Montos[[#This Row],[sobreU]]</f>
        <v>0.24</v>
      </c>
    </row>
    <row r="9" spans="3:26" x14ac:dyDescent="0.2">
      <c r="C9">
        <v>16</v>
      </c>
      <c r="D9">
        <v>20</v>
      </c>
      <c r="E9" s="1">
        <v>0.14000000000000001</v>
      </c>
      <c r="F9">
        <f>IF(Distribuciones[[#This Row],[Dia2 ]]&lt;=_xlfn.XLOOKUP("Plazo_de_devolución",Parametros[Parametro],Parametros[Valor]),1,0)</f>
        <v>0</v>
      </c>
      <c r="G9" s="1">
        <f>Distribuciones[[#This Row],[Porcentaje ]]*Distribuciones[[#This Row],[Admisible]]</f>
        <v>0</v>
      </c>
      <c r="I9">
        <v>150000</v>
      </c>
      <c r="J9">
        <v>250000</v>
      </c>
      <c r="K9" s="1">
        <v>0.18</v>
      </c>
      <c r="L9">
        <f>MAX(0,MIN(1,(Montos[[#This Row],[Monto2]]-_xlfn.XLOOKUP("Umbral_Gerencial",Parametros[Parametro],Parametros[Valor]))/(Montos[[#This Row],[Monto2]]-Montos[[#This Row],[Monto1 ]])))</f>
        <v>1</v>
      </c>
      <c r="M9">
        <f>Montos[[#This Row],[Porcentaje]]*Montos[[#This Row],[sobreU]]</f>
        <v>0.18</v>
      </c>
    </row>
    <row r="10" spans="3:26" x14ac:dyDescent="0.2">
      <c r="C10">
        <v>21</v>
      </c>
      <c r="D10">
        <v>30</v>
      </c>
      <c r="E10" s="1">
        <v>0.12</v>
      </c>
      <c r="F10">
        <f>IF(Distribuciones[[#This Row],[Dia2 ]]&lt;=_xlfn.XLOOKUP("Plazo_de_devolución",Parametros[Parametro],Parametros[Valor]),1,0)</f>
        <v>0</v>
      </c>
      <c r="G10" s="1">
        <f>Distribuciones[[#This Row],[Porcentaje ]]*Distribuciones[[#This Row],[Admisible]]</f>
        <v>0</v>
      </c>
      <c r="I10">
        <v>250000</v>
      </c>
      <c r="J10">
        <v>400000</v>
      </c>
      <c r="K10" s="1">
        <v>0.1</v>
      </c>
      <c r="L10">
        <f>MAX(0,MIN(1,(Montos[[#This Row],[Monto2]]-_xlfn.XLOOKUP("Umbral_Gerencial",Parametros[Parametro],Parametros[Valor]))/(Montos[[#This Row],[Monto2]]-Montos[[#This Row],[Monto1 ]])))</f>
        <v>1</v>
      </c>
      <c r="M10">
        <f>Montos[[#This Row],[Porcentaje]]*Montos[[#This Row],[sobreU]]</f>
        <v>0.1</v>
      </c>
    </row>
    <row r="11" spans="3:26" x14ac:dyDescent="0.2">
      <c r="C11" t="s">
        <v>17</v>
      </c>
      <c r="G11" s="1">
        <f>SUBTOTAL(109,Distribuciones[[Aporte ]])</f>
        <v>0.74</v>
      </c>
      <c r="I11" t="s">
        <v>17</v>
      </c>
      <c r="M11">
        <f>SUBTOTAL(109,Montos[Aporte])</f>
        <v>0.74399999999999999</v>
      </c>
    </row>
    <row r="12" spans="3:26" x14ac:dyDescent="0.2">
      <c r="C12" s="2"/>
      <c r="E12" s="1"/>
      <c r="G12" s="3"/>
    </row>
    <row r="14" spans="3:26" x14ac:dyDescent="0.2">
      <c r="I14" t="s">
        <v>40</v>
      </c>
      <c r="J14" t="s">
        <v>37</v>
      </c>
      <c r="K14" t="s">
        <v>28</v>
      </c>
    </row>
    <row r="15" spans="3:26" x14ac:dyDescent="0.2">
      <c r="I15" t="s">
        <v>41</v>
      </c>
      <c r="J15">
        <f>1</f>
        <v>1</v>
      </c>
      <c r="K15" s="4">
        <f>J15*_xlfn.XLOOKUP("Volumen_mensual ",Parametros[Parametro],Parametros[Valor])</f>
        <v>254</v>
      </c>
    </row>
    <row r="16" spans="3:26" x14ac:dyDescent="0.2">
      <c r="C16" t="s">
        <v>22</v>
      </c>
      <c r="D16" t="s">
        <v>19</v>
      </c>
      <c r="I16" t="s">
        <v>29</v>
      </c>
      <c r="J16">
        <f>_xlfn.XLOOKUP("p_plazo",Probabilidades[Concepto],Probabilidades[Valor])</f>
        <v>0.26</v>
      </c>
      <c r="K16" s="4">
        <f>J16*_xlfn.XLOOKUP("Volumen_mensual ",Parametros[Parametro],Parametros[Valor])</f>
        <v>66.040000000000006</v>
      </c>
    </row>
    <row r="17" spans="3:11" x14ac:dyDescent="0.2">
      <c r="C17" t="s">
        <v>23</v>
      </c>
      <c r="D17">
        <f>Distribuciones[[#Totals], [Aporte ]]</f>
        <v>0.74</v>
      </c>
      <c r="I17" t="s">
        <v>30</v>
      </c>
      <c r="J17">
        <f>_xlfn.XLOOKUP("p_adm ",Probabilidades[Concepto],Probabilidades[Valor])</f>
        <v>0.74</v>
      </c>
      <c r="K17" s="4">
        <f>J17*_xlfn.XLOOKUP("Volumen_mensual ",Parametros[Parametro],Parametros[Valor])</f>
        <v>187.96</v>
      </c>
    </row>
    <row r="18" spans="3:11" x14ac:dyDescent="0.2">
      <c r="C18" t="s">
        <v>24</v>
      </c>
      <c r="D18">
        <f>1- Distribuciones[[#Totals], [Aporte ]]</f>
        <v>0.26</v>
      </c>
      <c r="I18" t="s">
        <v>49</v>
      </c>
      <c r="J18">
        <f>_xlfn.XLOOKUP("p_adm ",Probabilidades[Concepto],Probabilidades[Valor])*_xlfn.XLOOKUP("p_U",Probabilidades[Concepto],Probabilidades[Valor])</f>
        <v>0.55055999999999994</v>
      </c>
      <c r="K18" s="4">
        <f>J18*_xlfn.XLOOKUP("Volumen_mensual ",Parametros[Parametro],Parametros[Valor])</f>
        <v>139.84223999999998</v>
      </c>
    </row>
    <row r="19" spans="3:11" x14ac:dyDescent="0.2">
      <c r="C19" t="s">
        <v>25</v>
      </c>
      <c r="D19">
        <f>Montos[[#Totals], [Aporte]]</f>
        <v>0.74399999999999999</v>
      </c>
      <c r="I19" t="s">
        <v>42</v>
      </c>
      <c r="J19">
        <f>_xlfn.XLOOKUP("p_adm ",Probabilidades[Concepto],Probabilidades[Valor])*_xlfn.XLOOKUP("p_U",Probabilidades[Concepto],Probabilidades[Valor])*_xlfn.XLOOKUP("Rechazo_Gerencial",Parametros[Parametro],Parametros[Valor])</f>
        <v>4.4044799999999995E-2</v>
      </c>
      <c r="K19" s="4">
        <f>J19*_xlfn.XLOOKUP("Volumen_mensual ",Parametros[Parametro],Parametros[Valor])</f>
        <v>11.187379199999999</v>
      </c>
    </row>
    <row r="20" spans="3:11" x14ac:dyDescent="0.2">
      <c r="C20" t="s">
        <v>26</v>
      </c>
      <c r="D20">
        <f>1-Montos[[#Totals], [Aporte]]</f>
        <v>0.25600000000000001</v>
      </c>
      <c r="I20" t="s">
        <v>43</v>
      </c>
      <c r="J20">
        <f>_xlfn.XLOOKUP("p_adm ",Probabilidades[Concepto],Probabilidades[Valor])*_xlfn.XLOOKUP("p_U",Probabilidades[Concepto],Probabilidades[Valor])*(1-_xlfn.XLOOKUP("Rechazo_Gerencial",Parametros[Parametro],Parametros[Valor]))</f>
        <v>0.50651519999999994</v>
      </c>
      <c r="K20" s="4">
        <f>J20*_xlfn.XLOOKUP("Volumen_mensual ",Parametros[Parametro],Parametros[Valor])</f>
        <v>128.65486079999999</v>
      </c>
    </row>
    <row r="21" spans="3:11" x14ac:dyDescent="0.2">
      <c r="C21" t="s">
        <v>27</v>
      </c>
      <c r="D21">
        <f>Distribuciones[[#Totals],[Aporte ]]*(1-Montos[[#Totals],[Aporte]]*_xlfn.XLOOKUP("Rechazo_Gerencial",Parametros[Parametro],Parametros[Valor]))</f>
        <v>0.6959552</v>
      </c>
      <c r="I21" t="s">
        <v>44</v>
      </c>
      <c r="J21">
        <f>_xlfn.XLOOKUP("p_adm ",Probabilidades[Concepto],Probabilidades[Valor])*_xlfn.XLOOKUP("p_bajoU",Probabilidades[Concepto],Probabilidades[Valor])</f>
        <v>0.18944</v>
      </c>
      <c r="K21" s="4">
        <f>J21*_xlfn.XLOOKUP("Volumen_mensual ",Parametros[Parametro],Parametros[Valor])</f>
        <v>48.117759999999997</v>
      </c>
    </row>
    <row r="22" spans="3:11" x14ac:dyDescent="0.2">
      <c r="I22" t="s">
        <v>45</v>
      </c>
      <c r="J22">
        <f>_xlfn.XLOOKUP("p_cont",Probabilidades[Concepto],Probabilidades[Valor])</f>
        <v>0.6959552</v>
      </c>
      <c r="K22" s="4">
        <f>J22*_xlfn.XLOOKUP("Volumen_mensual ",Parametros[Parametro],Parametros[Valor])</f>
        <v>176.7726208</v>
      </c>
    </row>
    <row r="23" spans="3:11" x14ac:dyDescent="0.2">
      <c r="I23" t="s">
        <v>31</v>
      </c>
      <c r="J23">
        <f>_xlfn.XLOOKUP("p_cont",Probabilidades[Concepto],Probabilidades[Valor])</f>
        <v>0.6959552</v>
      </c>
      <c r="K23" s="4">
        <f>J23*_xlfn.XLOOKUP("Volumen_mensual ",Parametros[Parametro],Parametros[Valor])</f>
        <v>176.7726208</v>
      </c>
    </row>
    <row r="24" spans="3:11" x14ac:dyDescent="0.2">
      <c r="I24" t="s">
        <v>50</v>
      </c>
      <c r="J24">
        <f>_xlfn.XLOOKUP("p_cont",Probabilidades[Concepto],Probabilidades[Valor])*(1-_xlfn.XLOOKUP("Tasa_de_productos_dañados",Parametros[Parametro],Parametros[Valor]))</f>
        <v>0.57068326400000002</v>
      </c>
      <c r="K24" s="4">
        <f>J24*_xlfn.XLOOKUP("Volumen_mensual ",Parametros[Parametro],Parametros[Valor])</f>
        <v>144.95354905600001</v>
      </c>
    </row>
    <row r="25" spans="3:11" x14ac:dyDescent="0.2">
      <c r="I25" t="s">
        <v>46</v>
      </c>
      <c r="J25">
        <f>_xlfn.XLOOKUP("p_cont",Probabilidades[Concepto],Probabilidades[Valor])*_xlfn.XLOOKUP("Tasa_de_productos_dañados",Parametros[Parametro],Parametros[Valor])</f>
        <v>0.125271936</v>
      </c>
      <c r="K25" s="4">
        <f>J25*_xlfn.XLOOKUP("Volumen_mensual ",Parametros[Parametro],Parametros[Valor])</f>
        <v>31.819071743999999</v>
      </c>
    </row>
    <row r="26" spans="3:11" x14ac:dyDescent="0.2">
      <c r="I26" t="s">
        <v>51</v>
      </c>
      <c r="J26">
        <f>_xlfn.XLOOKUP("p_cont",Probabilidades[Concepto],Probabilidades[Valor])*_xlfn.XLOOKUP("Tasa_de_productos_dañados",Parametros[Parametro],Parametros[Valor])*_xlfn.XLOOKUP("Reparables",Parametros[Parametro],Parametros[Valor])</f>
        <v>8.76903552E-2</v>
      </c>
      <c r="K26" s="4">
        <f>J26*_xlfn.XLOOKUP("Volumen_mensual ",Parametros[Parametro],Parametros[Valor])</f>
        <v>22.273350220800001</v>
      </c>
    </row>
    <row r="27" spans="3:11" x14ac:dyDescent="0.2">
      <c r="I27" t="s">
        <v>32</v>
      </c>
      <c r="J27">
        <f>_xlfn.XLOOKUP("p_cont",Probabilidades[Concepto],Probabilidades[Valor])*_xlfn.XLOOKUP("Tasa_de_productos_dañados",Parametros[Parametro],Parametros[Valor])*_xlfn.XLOOKUP("Dado_de_baja",Parametros[Parametro],Parametros[Valor])</f>
        <v>3.75815808E-2</v>
      </c>
      <c r="K27" s="4">
        <f>J27*_xlfn.XLOOKUP("Volumen_mensual ",Parametros[Parametro],Parametros[Valor])</f>
        <v>9.5457215231999992</v>
      </c>
    </row>
    <row r="28" spans="3:11" x14ac:dyDescent="0.2">
      <c r="I28" t="s">
        <v>33</v>
      </c>
      <c r="J28">
        <f>_xlfn.XLOOKUP("p_cont",Probabilidades[Concepto],Probabilidades[Valor])*_xlfn.XLOOKUP("Tasa_de_reproceso",Parametros[Parametro],Parametros[Valor])</f>
        <v>6.2635968E-2</v>
      </c>
      <c r="K28" s="4">
        <f>J28*_xlfn.XLOOKUP("Volumen_mensual ",Parametros[Parametro],Parametros[Valor])</f>
        <v>15.909535871999999</v>
      </c>
    </row>
    <row r="29" spans="3:11" x14ac:dyDescent="0.2">
      <c r="I29" t="s">
        <v>47</v>
      </c>
      <c r="J29">
        <f>_xlfn.XLOOKUP("p_cont",Probabilidades[Concepto],Probabilidades[Valor])</f>
        <v>0.6959552</v>
      </c>
      <c r="K29" s="4">
        <f>J29*_xlfn.XLOOKUP("Volumen_mensual ",Parametros[Parametro],Parametros[Valor])</f>
        <v>176.7726208</v>
      </c>
    </row>
    <row r="30" spans="3:11" x14ac:dyDescent="0.2">
      <c r="I30" t="s">
        <v>48</v>
      </c>
      <c r="J30">
        <f>_xlfn.XLOOKUP("p_plazo",Probabilidades[Concepto],Probabilidades[Valor])+_xlfn.XLOOKUP("p_adm ",Probabilidades[Concepto],Probabilidades[Valor])*_xlfn.XLOOKUP("p_U",Probabilidades[Concepto],Probabilidades[Valor])*_xlfn.XLOOKUP("Rechazo_Gerencial",Parametros[Parametro],Parametros[Valor])+_xlfn.XLOOKUP("p_cont",Probabilidades[Concepto],Probabilidades[Valor])</f>
        <v>1</v>
      </c>
      <c r="K30" s="4">
        <f>J30*_xlfn.XLOOKUP("Volumen_mensual ",Parametros[Parametro],Parametros[Valor])</f>
        <v>254</v>
      </c>
    </row>
    <row r="35" spans="3:11" x14ac:dyDescent="0.2">
      <c r="C35" t="s">
        <v>52</v>
      </c>
      <c r="D35" t="s">
        <v>53</v>
      </c>
      <c r="E35" t="s">
        <v>54</v>
      </c>
      <c r="F35" t="s">
        <v>55</v>
      </c>
      <c r="G35" t="s">
        <v>56</v>
      </c>
      <c r="H35" t="s">
        <v>28</v>
      </c>
      <c r="I35" t="s">
        <v>57</v>
      </c>
      <c r="J35" t="s">
        <v>58</v>
      </c>
      <c r="K35" t="s">
        <v>89</v>
      </c>
    </row>
    <row r="36" spans="3:11" x14ac:dyDescent="0.2">
      <c r="C36" t="s">
        <v>59</v>
      </c>
      <c r="D36">
        <v>12</v>
      </c>
      <c r="E36">
        <v>4</v>
      </c>
      <c r="F36" t="s">
        <v>60</v>
      </c>
      <c r="G36">
        <v>6500</v>
      </c>
      <c r="H36">
        <f>_xlfn.XLOOKUP("Solicitudes recibidas",Volumenes[Rama],Volumenes[Casos])</f>
        <v>254</v>
      </c>
      <c r="I36" s="4">
        <f>Actividades[[#This Row],[Trabajo_min]]*Actividades[[#This Row],[Casos]]/60</f>
        <v>50.8</v>
      </c>
      <c r="J36" s="5">
        <f>Actividades[[#This Row],[Trabajo_min]]/60*Actividades[[#This Row],[Tarifa]]*Actividades[[#This Row],[Casos]]</f>
        <v>330200</v>
      </c>
      <c r="K36" s="5">
        <f>IF(Actividades[[#This Row],[Actividad]]="Traslado del courier",Actividades[[#This Row],[Casos]]*_xlfn.XLOOKUP("Courier",Parametros[Parametro],Parametros[Valor]),IF(Actividades[[#This Row],[Actividad]]="Procesar pasarela",Actividades[[#This Row],[Casos]]*_xlfn.XLOOKUP("Comisión_pasarela",Parametros[Parametro],Parametros[Valor]),0))</f>
        <v>0</v>
      </c>
    </row>
    <row r="37" spans="3:11" x14ac:dyDescent="0.2">
      <c r="C37" t="s">
        <v>61</v>
      </c>
      <c r="D37">
        <v>8</v>
      </c>
      <c r="E37">
        <v>2</v>
      </c>
      <c r="F37" t="s">
        <v>60</v>
      </c>
      <c r="G37">
        <v>6500</v>
      </c>
      <c r="H37">
        <f>_xlfn.XLOOKUP("Solicitudes recibidas",Volumenes[Rama],Volumenes[Casos])</f>
        <v>254</v>
      </c>
      <c r="I37" s="4">
        <f>Actividades[[#This Row],[Trabajo_min]]*Actividades[[#This Row],[Casos]]/60</f>
        <v>33.866666666666667</v>
      </c>
      <c r="J37" s="5">
        <f>Actividades[[#This Row],[Trabajo_min]]/60*Actividades[[#This Row],[Tarifa]]*Actividades[[#This Row],[Casos]]</f>
        <v>220133.33333333331</v>
      </c>
      <c r="K37" s="5">
        <f>IF(Actividades[[#This Row],[Actividad]]="Traslado del courier",Actividades[[#This Row],[Casos]]*_xlfn.XLOOKUP("Courier",Parametros[Parametro],Parametros[Valor]),IF(Actividades[[#This Row],[Actividad]]="Procesar pasarela",Actividades[[#This Row],[Casos]]*_xlfn.XLOOKUP("Comisión_pasarela",Parametros[Parametro],Parametros[Valor]),0))</f>
        <v>0</v>
      </c>
    </row>
    <row r="38" spans="3:11" x14ac:dyDescent="0.2">
      <c r="C38" t="s">
        <v>62</v>
      </c>
      <c r="D38">
        <v>5</v>
      </c>
      <c r="E38">
        <v>48</v>
      </c>
      <c r="F38" t="s">
        <v>60</v>
      </c>
      <c r="G38">
        <v>6500</v>
      </c>
      <c r="H38">
        <f>_xlfn.XLOOKUP("Admisibles",Volumenes[Rama],Volumenes[Casos])</f>
        <v>187.96</v>
      </c>
      <c r="I38" s="4">
        <f>Actividades[[#This Row],[Trabajo_min]]*Actividades[[#This Row],[Casos]]/60</f>
        <v>15.663333333333334</v>
      </c>
      <c r="J38" s="5">
        <f>Actividades[[#This Row],[Trabajo_min]]/60*Actividades[[#This Row],[Tarifa]]*Actividades[[#This Row],[Casos]]</f>
        <v>101811.66666666666</v>
      </c>
      <c r="K38" s="5">
        <f>IF(Actividades[[#This Row],[Actividad]]="Traslado del courier",Actividades[[#This Row],[Casos]]*_xlfn.XLOOKUP("Courier",Parametros[Parametro],Parametros[Valor]),IF(Actividades[[#This Row],[Actividad]]="Procesar pasarela",Actividades[[#This Row],[Casos]]*_xlfn.XLOOKUP("Comisión_pasarela",Parametros[Parametro],Parametros[Valor]),0))</f>
        <v>0</v>
      </c>
    </row>
    <row r="39" spans="3:11" x14ac:dyDescent="0.2">
      <c r="C39" t="s">
        <v>63</v>
      </c>
      <c r="D39">
        <v>10</v>
      </c>
      <c r="E39">
        <v>6</v>
      </c>
      <c r="F39" t="s">
        <v>64</v>
      </c>
      <c r="G39">
        <v>11000</v>
      </c>
      <c r="H39">
        <f>_xlfn.XLOOKUP("Admisibles",Volumenes[Rama],Volumenes[Casos])</f>
        <v>187.96</v>
      </c>
      <c r="I39" s="4">
        <f>Actividades[[#This Row],[Trabajo_min]]*Actividades[[#This Row],[Casos]]/60</f>
        <v>31.326666666666668</v>
      </c>
      <c r="J39" s="5">
        <f>Actividades[[#This Row],[Trabajo_min]]/60*Actividades[[#This Row],[Tarifa]]*Actividades[[#This Row],[Casos]]</f>
        <v>344593.33333333331</v>
      </c>
      <c r="K39" s="5">
        <f>IF(Actividades[[#This Row],[Actividad]]="Traslado del courier",Actividades[[#This Row],[Casos]]*_xlfn.XLOOKUP("Courier",Parametros[Parametro],Parametros[Valor]),IF(Actividades[[#This Row],[Actividad]]="Procesar pasarela",Actividades[[#This Row],[Casos]]*_xlfn.XLOOKUP("Comisión_pasarela",Parametros[Parametro],Parametros[Valor]),0))</f>
        <v>0</v>
      </c>
    </row>
    <row r="40" spans="3:11" x14ac:dyDescent="0.2">
      <c r="C40" t="s">
        <v>65</v>
      </c>
      <c r="D40">
        <v>6</v>
      </c>
      <c r="E40">
        <v>48</v>
      </c>
      <c r="F40" t="s">
        <v>60</v>
      </c>
      <c r="G40">
        <v>6500</v>
      </c>
      <c r="H40">
        <f>_xlfn.XLOOKUP(" Autorización gerencial",Volumenes[Rama],Volumenes[Casos])</f>
        <v>139.84223999999998</v>
      </c>
      <c r="I40" s="4">
        <f>Actividades[[#This Row],[Trabajo_min]]*Actividades[[#This Row],[Casos]]/60</f>
        <v>13.984223999999999</v>
      </c>
      <c r="J40" s="5">
        <f>Actividades[[#This Row],[Trabajo_min]]/60*Actividades[[#This Row],[Tarifa]]*Actividades[[#This Row],[Casos]]</f>
        <v>90897.455999999991</v>
      </c>
      <c r="K40" s="5">
        <f>IF(Actividades[[#This Row],[Actividad]]="Traslado del courier",Actividades[[#This Row],[Casos]]*_xlfn.XLOOKUP("Courier",Parametros[Parametro],Parametros[Valor]),IF(Actividades[[#This Row],[Actividad]]="Procesar pasarela",Actividades[[#This Row],[Casos]]*_xlfn.XLOOKUP("Comisión_pasarela",Parametros[Parametro],Parametros[Valor]),0))</f>
        <v>0</v>
      </c>
    </row>
    <row r="41" spans="3:11" x14ac:dyDescent="0.2">
      <c r="C41" t="s">
        <v>66</v>
      </c>
      <c r="D41">
        <v>8</v>
      </c>
      <c r="E41">
        <v>4</v>
      </c>
      <c r="F41" t="s">
        <v>67</v>
      </c>
      <c r="G41">
        <v>18000</v>
      </c>
      <c r="H41">
        <f>_xlfn.XLOOKUP(" Autorización gerencial",Volumenes[Rama],Volumenes[Casos])</f>
        <v>139.84223999999998</v>
      </c>
      <c r="I41" s="4">
        <f>Actividades[[#This Row],[Trabajo_min]]*Actividades[[#This Row],[Casos]]/60</f>
        <v>18.645631999999996</v>
      </c>
      <c r="J41" s="5">
        <f>Actividades[[#This Row],[Trabajo_min]]/60*Actividades[[#This Row],[Tarifa]]*Actividades[[#This Row],[Casos]]</f>
        <v>335621.37599999993</v>
      </c>
      <c r="K41" s="5">
        <f>IF(Actividades[[#This Row],[Actividad]]="Traslado del courier",Actividades[[#This Row],[Casos]]*_xlfn.XLOOKUP("Courier",Parametros[Parametro],Parametros[Valor]),IF(Actividades[[#This Row],[Actividad]]="Procesar pasarela",Actividades[[#This Row],[Casos]]*_xlfn.XLOOKUP("Comisión_pasarela",Parametros[Parametro],Parametros[Valor]),0))</f>
        <v>0</v>
      </c>
    </row>
    <row r="42" spans="3:11" x14ac:dyDescent="0.2">
      <c r="C42" t="s">
        <v>68</v>
      </c>
      <c r="D42">
        <v>15</v>
      </c>
      <c r="E42">
        <v>24</v>
      </c>
      <c r="F42" t="s">
        <v>60</v>
      </c>
      <c r="G42">
        <v>6500</v>
      </c>
      <c r="H42">
        <f>_xlfn.XLOOKUP("Continúan a retiro",Volumenes[Rama],Volumenes[Casos])</f>
        <v>176.7726208</v>
      </c>
      <c r="I42" s="4">
        <f>Actividades[[#This Row],[Trabajo_min]]*Actividades[[#This Row],[Casos]]/60</f>
        <v>44.1931552</v>
      </c>
      <c r="J42" s="5">
        <f>Actividades[[#This Row],[Trabajo_min]]/60*Actividades[[#This Row],[Tarifa]]*Actividades[[#This Row],[Casos]]</f>
        <v>287255.50880000001</v>
      </c>
      <c r="K42" s="5">
        <f>IF(Actividades[[#This Row],[Actividad]]="Traslado del courier",Actividades[[#This Row],[Casos]]*_xlfn.XLOOKUP("Courier",Parametros[Parametro],Parametros[Valor]),IF(Actividades[[#This Row],[Actividad]]="Procesar pasarela",Actividades[[#This Row],[Casos]]*_xlfn.XLOOKUP("Comisión_pasarela",Parametros[Parametro],Parametros[Valor]),0))</f>
        <v>0</v>
      </c>
    </row>
    <row r="43" spans="3:11" x14ac:dyDescent="0.2">
      <c r="C43" t="s">
        <v>69</v>
      </c>
      <c r="D43">
        <v>0</v>
      </c>
      <c r="E43">
        <v>72</v>
      </c>
      <c r="F43" t="s">
        <v>70</v>
      </c>
      <c r="G43">
        <v>0</v>
      </c>
      <c r="H43">
        <f>_xlfn.XLOOKUP("Retiros por courier",Volumenes[Rama],Volumenes[Casos])</f>
        <v>176.7726208</v>
      </c>
      <c r="I43" s="4">
        <f>Actividades[[#This Row],[Trabajo_min]]*Actividades[[#This Row],[Casos]]/60</f>
        <v>0</v>
      </c>
      <c r="J43" s="5">
        <f>Actividades[[#This Row],[Trabajo_min]]/60*Actividades[[#This Row],[Tarifa]]*Actividades[[#This Row],[Casos]]</f>
        <v>0</v>
      </c>
      <c r="K43" s="5">
        <f>IF(Actividades[[#This Row],[Actividad]]="Traslado del courier",Actividades[[#This Row],[Casos]]*_xlfn.XLOOKUP("Courier",Parametros[Parametro],Parametros[Valor]),IF(Actividades[[#This Row],[Actividad]]="Procesar pasarela",Actividades[[#This Row],[Casos]]*_xlfn.XLOOKUP("Comisión_pasarela",Parametros[Parametro],Parametros[Valor]),0))</f>
        <v>866185.84192000004</v>
      </c>
    </row>
    <row r="44" spans="3:11" x14ac:dyDescent="0.2">
      <c r="C44" t="s">
        <v>71</v>
      </c>
      <c r="D44">
        <v>0</v>
      </c>
      <c r="E44">
        <v>18</v>
      </c>
      <c r="F44" t="s">
        <v>72</v>
      </c>
      <c r="G44">
        <v>0</v>
      </c>
      <c r="H44">
        <f>_xlfn.XLOOKUP("Continúan a retiro",Volumenes[Rama],Volumenes[Casos])</f>
        <v>176.7726208</v>
      </c>
      <c r="I44" s="4">
        <f>Actividades[[#This Row],[Trabajo_min]]*Actividades[[#This Row],[Casos]]/60</f>
        <v>0</v>
      </c>
      <c r="J44" s="5">
        <f>Actividades[[#This Row],[Trabajo_min]]/60*Actividades[[#This Row],[Tarifa]]*Actividades[[#This Row],[Casos]]</f>
        <v>0</v>
      </c>
      <c r="K44" s="5">
        <f>IF(Actividades[[#This Row],[Actividad]]="Traslado del courier",Actividades[[#This Row],[Casos]]*_xlfn.XLOOKUP("Courier",Parametros[Parametro],Parametros[Valor]),IF(Actividades[[#This Row],[Actividad]]="Procesar pasarela",Actividades[[#This Row],[Casos]]*_xlfn.XLOOKUP("Comisión_pasarela",Parametros[Parametro],Parametros[Valor]),0))</f>
        <v>0</v>
      </c>
    </row>
    <row r="45" spans="3:11" x14ac:dyDescent="0.2">
      <c r="C45" t="s">
        <v>73</v>
      </c>
      <c r="D45">
        <v>25</v>
      </c>
      <c r="E45">
        <v>8</v>
      </c>
      <c r="F45" t="s">
        <v>74</v>
      </c>
      <c r="G45">
        <v>5800</v>
      </c>
      <c r="H45">
        <f>_xlfn.XLOOKUP("Continúan a retiro",Volumenes[Rama],Volumenes[Casos])</f>
        <v>176.7726208</v>
      </c>
      <c r="I45" s="4">
        <f>Actividades[[#This Row],[Trabajo_min]]*Actividades[[#This Row],[Casos]]/60</f>
        <v>73.655258666666668</v>
      </c>
      <c r="J45" s="5">
        <f>Actividades[[#This Row],[Trabajo_min]]/60*Actividades[[#This Row],[Tarifa]]*Actividades[[#This Row],[Casos]]</f>
        <v>427200.5002666667</v>
      </c>
      <c r="K45" s="5">
        <f>IF(Actividades[[#This Row],[Actividad]]="Traslado del courier",Actividades[[#This Row],[Casos]]*_xlfn.XLOOKUP("Courier",Parametros[Parametro],Parametros[Valor]),IF(Actividades[[#This Row],[Actividad]]="Procesar pasarela",Actividades[[#This Row],[Casos]]*_xlfn.XLOOKUP("Comisión_pasarela",Parametros[Parametro],Parametros[Valor]),0))</f>
        <v>0</v>
      </c>
    </row>
    <row r="46" spans="3:11" x14ac:dyDescent="0.2">
      <c r="C46" t="s">
        <v>75</v>
      </c>
      <c r="D46">
        <v>10</v>
      </c>
      <c r="E46">
        <v>12</v>
      </c>
      <c r="F46" t="s">
        <v>74</v>
      </c>
      <c r="G46">
        <v>5800</v>
      </c>
      <c r="H46">
        <f>_xlfn.XLOOKUP("Continúan a retiro",Volumenes[Rama],Volumenes[Casos])</f>
        <v>176.7726208</v>
      </c>
      <c r="I46" s="4">
        <f>Actividades[[#This Row],[Trabajo_min]]*Actividades[[#This Row],[Casos]]/60</f>
        <v>29.462103466666669</v>
      </c>
      <c r="J46" s="5">
        <f>Actividades[[#This Row],[Trabajo_min]]/60*Actividades[[#This Row],[Tarifa]]*Actividades[[#This Row],[Casos]]</f>
        <v>170880.20010666666</v>
      </c>
      <c r="K46" s="5">
        <f>IF(Actividades[[#This Row],[Actividad]]="Traslado del courier",Actividades[[#This Row],[Casos]]*_xlfn.XLOOKUP("Courier",Parametros[Parametro],Parametros[Valor]),IF(Actividades[[#This Row],[Actividad]]="Procesar pasarela",Actividades[[#This Row],[Casos]]*_xlfn.XLOOKUP("Comisión_pasarela",Parametros[Parametro],Parametros[Valor]),0))</f>
        <v>0</v>
      </c>
    </row>
    <row r="47" spans="3:11" x14ac:dyDescent="0.2">
      <c r="C47" t="s">
        <v>76</v>
      </c>
      <c r="D47">
        <v>65</v>
      </c>
      <c r="E47">
        <v>120</v>
      </c>
      <c r="F47" t="s">
        <v>77</v>
      </c>
      <c r="G47">
        <v>8400</v>
      </c>
      <c r="H47">
        <f>_xlfn.XLOOKUP("Reparables a taller",Volumenes[Rama],Volumenes[Casos])</f>
        <v>22.273350220800001</v>
      </c>
      <c r="I47" s="4">
        <f>Actividades[[#This Row],[Trabajo_min]]*Actividades[[#This Row],[Casos]]/60</f>
        <v>24.129462739200001</v>
      </c>
      <c r="J47" s="5">
        <f>Actividades[[#This Row],[Trabajo_min]]/60*Actividades[[#This Row],[Tarifa]]*Actividades[[#This Row],[Casos]]</f>
        <v>202687.48700928001</v>
      </c>
      <c r="K47" s="5">
        <f>IF(Actividades[[#This Row],[Actividad]]="Traslado del courier",Actividades[[#This Row],[Casos]]*_xlfn.XLOOKUP("Courier",Parametros[Parametro],Parametros[Valor]),IF(Actividades[[#This Row],[Actividad]]="Procesar pasarela",Actividades[[#This Row],[Casos]]*_xlfn.XLOOKUP("Comisión_pasarela",Parametros[Parametro],Parametros[Valor]),0))</f>
        <v>0</v>
      </c>
    </row>
    <row r="48" spans="3:11" x14ac:dyDescent="0.2">
      <c r="C48" t="s">
        <v>78</v>
      </c>
      <c r="D48">
        <v>9</v>
      </c>
      <c r="E48">
        <v>6</v>
      </c>
      <c r="F48" t="s">
        <v>79</v>
      </c>
      <c r="G48">
        <v>9200</v>
      </c>
      <c r="H48">
        <f>_xlfn.XLOOKUP("Continúan a retiro",Volumenes[Rama],Volumenes[Casos])</f>
        <v>176.7726208</v>
      </c>
      <c r="I48" s="4">
        <f>Actividades[[#This Row],[Trabajo_min]]*Actividades[[#This Row],[Casos]]/60</f>
        <v>26.515893119999998</v>
      </c>
      <c r="J48" s="5">
        <f>Actividades[[#This Row],[Trabajo_min]]/60*Actividades[[#This Row],[Tarifa]]*Actividades[[#This Row],[Casos]]</f>
        <v>243946.21670399999</v>
      </c>
      <c r="K48" s="5">
        <f>IF(Actividades[[#This Row],[Actividad]]="Traslado del courier",Actividades[[#This Row],[Casos]]*_xlfn.XLOOKUP("Courier",Parametros[Parametro],Parametros[Valor]),IF(Actividades[[#This Row],[Actividad]]="Procesar pasarela",Actividades[[#This Row],[Casos]]*_xlfn.XLOOKUP("Comisión_pasarela",Parametros[Parametro],Parametros[Valor]),0))</f>
        <v>0</v>
      </c>
    </row>
    <row r="49" spans="3:25" x14ac:dyDescent="0.2">
      <c r="C49" t="s">
        <v>80</v>
      </c>
      <c r="D49">
        <v>14</v>
      </c>
      <c r="E49">
        <v>84</v>
      </c>
      <c r="F49" t="s">
        <v>79</v>
      </c>
      <c r="G49">
        <v>9200</v>
      </c>
      <c r="H49">
        <f>_xlfn.XLOOKUP("Reembolsos emitidos",Volumenes[Rama],Volumenes[Casos])</f>
        <v>176.7726208</v>
      </c>
      <c r="I49" s="4">
        <f>Actividades[[#This Row],[Trabajo_min]]*Actividades[[#This Row],[Casos]]/60</f>
        <v>41.246944853333339</v>
      </c>
      <c r="J49" s="5">
        <f>Actividades[[#This Row],[Trabajo_min]]/60*Actividades[[#This Row],[Tarifa]]*Actividades[[#This Row],[Casos]]</f>
        <v>379471.89265066665</v>
      </c>
      <c r="K49" s="5">
        <f>IF(Actividades[[#This Row],[Actividad]]="Traslado del courier",Actividades[[#This Row],[Casos]]*_xlfn.XLOOKUP("Courier",Parametros[Parametro],Parametros[Valor]),IF(Actividades[[#This Row],[Actividad]]="Procesar pasarela",Actividades[[#This Row],[Casos]]*_xlfn.XLOOKUP("Comisión_pasarela",Parametros[Parametro],Parametros[Valor]),0))</f>
        <v>0</v>
      </c>
    </row>
    <row r="50" spans="3:25" x14ac:dyDescent="0.2">
      <c r="C50" t="s">
        <v>81</v>
      </c>
      <c r="D50">
        <v>0</v>
      </c>
      <c r="E50">
        <v>0</v>
      </c>
      <c r="F50" t="s">
        <v>82</v>
      </c>
      <c r="G50">
        <v>0</v>
      </c>
      <c r="H50">
        <f>_xlfn.XLOOKUP("Reembolsos emitidos",Volumenes[Rama],Volumenes[Casos])</f>
        <v>176.7726208</v>
      </c>
      <c r="I50" s="4">
        <f>Actividades[[#This Row],[Trabajo_min]]*Actividades[[#This Row],[Casos]]/60</f>
        <v>0</v>
      </c>
      <c r="J50" s="5">
        <f>Actividades[[#This Row],[Trabajo_min]]/60*Actividades[[#This Row],[Tarifa]]*Actividades[[#This Row],[Casos]]</f>
        <v>0</v>
      </c>
      <c r="K50" s="5">
        <f>IF(Actividades[[#This Row],[Actividad]]="Traslado del courier",Actividades[[#This Row],[Casos]]*_xlfn.XLOOKUP("Courier",Parametros[Parametro],Parametros[Valor]),IF(Actividades[[#This Row],[Actividad]]="Procesar pasarela",Actividades[[#This Row],[Casos]]*_xlfn.XLOOKUP("Comisión_pasarela",Parametros[Parametro],Parametros[Valor]),0))</f>
        <v>159095.35871999999</v>
      </c>
    </row>
    <row r="51" spans="3:25" x14ac:dyDescent="0.2">
      <c r="C51" t="s">
        <v>83</v>
      </c>
      <c r="D51">
        <v>22</v>
      </c>
      <c r="E51">
        <v>0</v>
      </c>
      <c r="F51" t="s">
        <v>60</v>
      </c>
      <c r="G51">
        <v>6500</v>
      </c>
      <c r="H51">
        <f>_xlfn.XLOOKUP("Casos con reproceso",Volumenes[Rama],Volumenes[Casos])</f>
        <v>15.909535871999999</v>
      </c>
      <c r="I51" s="4">
        <f>Actividades[[#This Row],[Trabajo_min]]*Actividades[[#This Row],[Casos]]/60</f>
        <v>5.8334964863999996</v>
      </c>
      <c r="J51" s="5">
        <f>Actividades[[#This Row],[Trabajo_min]]/60*Actividades[[#This Row],[Tarifa]]*Actividades[[#This Row],[Casos]]</f>
        <v>37917.727161599993</v>
      </c>
      <c r="K51" s="5">
        <f>IF(Actividades[[#This Row],[Actividad]]="Traslado del courier",Actividades[[#This Row],[Casos]]*_xlfn.XLOOKUP("Courier",Parametros[Parametro],Parametros[Valor]),IF(Actividades[[#This Row],[Actividad]]="Procesar pasarela",Actividades[[#This Row],[Casos]]*_xlfn.XLOOKUP("Comisión_pasarela",Parametros[Parametro],Parametros[Valor]),0))</f>
        <v>0</v>
      </c>
      <c r="T51" s="2" t="s">
        <v>131</v>
      </c>
      <c r="U51" t="s">
        <v>132</v>
      </c>
      <c r="V51" t="s">
        <v>133</v>
      </c>
      <c r="W51" t="s">
        <v>134</v>
      </c>
      <c r="X51" t="s">
        <v>135</v>
      </c>
      <c r="Y51" t="s">
        <v>136</v>
      </c>
    </row>
    <row r="52" spans="3:25" x14ac:dyDescent="0.2">
      <c r="C52" t="s">
        <v>84</v>
      </c>
      <c r="D52">
        <v>15</v>
      </c>
      <c r="E52">
        <v>0</v>
      </c>
      <c r="F52" t="s">
        <v>79</v>
      </c>
      <c r="G52">
        <v>9200</v>
      </c>
      <c r="H52">
        <f>_xlfn.XLOOKUP("Casos con reproceso",Volumenes[Rama],Volumenes[Casos])</f>
        <v>15.909535871999999</v>
      </c>
      <c r="I52" s="4">
        <f>Actividades[[#This Row],[Trabajo_min]]*Actividades[[#This Row],[Casos]]/60</f>
        <v>3.9773839679999998</v>
      </c>
      <c r="J52" s="5">
        <f>Actividades[[#This Row],[Trabajo_min]]/60*Actividades[[#This Row],[Tarifa]]*Actividades[[#This Row],[Casos]]</f>
        <v>36591.932505600002</v>
      </c>
      <c r="K52" s="5">
        <f>IF(Actividades[[#This Row],[Actividad]]="Traslado del courier",Actividades[[#This Row],[Casos]]*_xlfn.XLOOKUP("Courier",Parametros[Parametro],Parametros[Valor]),IF(Actividades[[#This Row],[Actividad]]="Procesar pasarela",Actividades[[#This Row],[Casos]]*_xlfn.XLOOKUP("Comisión_pasarela",Parametros[Parametro],Parametros[Valor]),0))</f>
        <v>0</v>
      </c>
      <c r="T52">
        <v>1</v>
      </c>
      <c r="U52" t="s">
        <v>137</v>
      </c>
      <c r="V52" t="s">
        <v>138</v>
      </c>
      <c r="W52" s="4">
        <f>IF(Diagnostico[[#This Row],[Problema]]=1,84*_xlfn.XLOOKUP("p_cont",Probabilidades[Concepto],Probabilidades[Valor]),IF(Diagnostico[[#This Row],[Problema]]=2,6*_xlfn.XLOOKUP("p_adm ",Probabilidades[Concepto],Probabilidades[Valor])+6*_xlfn.XLOOKUP("p_cont",Probabilidades[Concepto],Probabilidades[Valor]),IF(Diagnostico[[#This Row],[Problema]]=3,24*_xlfn.XLOOKUP("Tasa_de_reproceso",Parametros[Parametro],Parametros[Valor])*_xlfn.XLOOKUP("p_cont",Probabilidades[Concepto],Probabilidades[Valor]),IF(Diagnostico[[#This Row],[Problema]]=4,52*_xlfn.XLOOKUP("p_adm ",Probabilidades[Concepto],Probabilidades[Valor])*_xlfn.XLOOKUP("p_U",Probabilidades[Concepto],Probabilidades[Valor]),IF(Diagnostico[[#This Row],[Problema]]=5,20*_xlfn.XLOOKUP("p_cont",Probabilidades[Concepto],Probabilidades[Valor]),IF(Diagnostico[[#This Row],[Problema]]=6,42*_xlfn.XLOOKUP("p_cont",Probabilidades[Concepto],Probabilidades[Valor]),0))))))</f>
        <v>58.460236799999997</v>
      </c>
      <c r="X52" s="4">
        <f>IF(Diagnostico[[#This Row],[Problema]]=1,0,IF(Diagnostico[[#This Row],[Problema]]=2,10/60*_xlfn.XLOOKUP("Admisibles",Volumenes[Rama],Volumenes[Casos])+9/60*_xlfn.XLOOKUP("Continúan a retiro",Volumenes[Rama],Volumenes[Casos]),IF(Diagnostico[[#This Row],[Problema]]=3,(22+15)/60*_xlfn.XLOOKUP("Casos con reproceso",Volumenes[Rama],Volumenes[Casos]),IF(Diagnostico[[#This Row],[Problema]]=4,(6+8)/60*_xlfn.XLOOKUP(" Autorización gerencial",Volumenes[Rama],Volumenes[Casos]),IF(Diagnostico[[#This Row],[Problema]]=5,10/60*_xlfn.XLOOKUP("Continúan a retiro",Volumenes[Rama],Volumenes[Casos]),IF(Diagnostico[[#This Row],[Problema]]=6,0,20/60*_xlfn.XLOOKUP("Rechazadas por plazo",Volumenes[Rama],Volumenes[Casos])))))))</f>
        <v>0</v>
      </c>
      <c r="Y52" s="5">
        <f>IF(Diagnostico[[#This Row],[Problema]]=1,0,IF(Diagnostico[[#This Row],[Problema]]=2,10/60*11000*_xlfn.XLOOKUP("Admisibles",Volumenes[Rama],Volumenes[Casos])+9/60*9200*_xlfn.XLOOKUP("Continúan a retiro",Volumenes[Rama],Volumenes[Casos]),IF(Diagnostico[[#This Row],[Problema]]=3,(22/60*6500+15/60*9200)*_xlfn.XLOOKUP("Casos con reproceso",Volumenes[Rama],Volumenes[Casos]),IF(Diagnostico[[#This Row],[Problema]]=4,(6/60*6500+8/60*18000)*_xlfn.XLOOKUP(" Autorización gerencial",Volumenes[Rama],Volumenes[Casos]),IF(Diagnostico[[#This Row],[Problema]]=5,10/60*5800*_xlfn.XLOOKUP("Continúan a retiro",Volumenes[Rama],Volumenes[Casos]),IF(Diagnostico[[#This Row],[Problema]]=6,0,20/60*6500*_xlfn.XLOOKUP("Rechazadas por plazo",Volumenes[Rama],Volumenes[Casos])))))))</f>
        <v>0</v>
      </c>
    </row>
    <row r="53" spans="3:25" x14ac:dyDescent="0.2">
      <c r="C53" t="s">
        <v>85</v>
      </c>
      <c r="D53">
        <v>0</v>
      </c>
      <c r="E53">
        <v>24</v>
      </c>
      <c r="F53" t="s">
        <v>72</v>
      </c>
      <c r="G53">
        <v>0</v>
      </c>
      <c r="H53">
        <f>_xlfn.XLOOKUP("Casos con reproceso",Volumenes[Rama],Volumenes[Casos])</f>
        <v>15.909535871999999</v>
      </c>
      <c r="I53" s="4">
        <f>Actividades[[#This Row],[Trabajo_min]]*Actividades[[#This Row],[Casos]]/60</f>
        <v>0</v>
      </c>
      <c r="J53" s="5">
        <f>Actividades[[#This Row],[Trabajo_min]]/60*Actividades[[#This Row],[Tarifa]]*Actividades[[#This Row],[Casos]]</f>
        <v>0</v>
      </c>
      <c r="K53" s="5">
        <f>IF(Actividades[[#This Row],[Actividad]]="Traslado del courier",Actividades[[#This Row],[Casos]]*_xlfn.XLOOKUP("Courier",Parametros[Parametro],Parametros[Valor]),IF(Actividades[[#This Row],[Actividad]]="Procesar pasarela",Actividades[[#This Row],[Casos]]*_xlfn.XLOOKUP("Comisión_pasarela",Parametros[Parametro],Parametros[Valor]),0))</f>
        <v>0</v>
      </c>
      <c r="T53">
        <v>2</v>
      </c>
      <c r="U53" t="s">
        <v>139</v>
      </c>
      <c r="V53" t="s">
        <v>140</v>
      </c>
      <c r="W53" s="4">
        <f>IF(Diagnostico[[#This Row],[Problema]]=1,84*_xlfn.XLOOKUP("p_cont",Probabilidades[Concepto],Probabilidades[Valor]),IF(Diagnostico[[#This Row],[Problema]]=2,6*_xlfn.XLOOKUP("p_adm ",Probabilidades[Concepto],Probabilidades[Valor])+6*_xlfn.XLOOKUP("p_cont",Probabilidades[Concepto],Probabilidades[Valor]),IF(Diagnostico[[#This Row],[Problema]]=3,24*_xlfn.XLOOKUP("Tasa_de_reproceso",Parametros[Parametro],Parametros[Valor])*_xlfn.XLOOKUP("p_cont",Probabilidades[Concepto],Probabilidades[Valor]),IF(Diagnostico[[#This Row],[Problema]]=4,52*_xlfn.XLOOKUP("p_adm ",Probabilidades[Concepto],Probabilidades[Valor])*_xlfn.XLOOKUP("p_U",Probabilidades[Concepto],Probabilidades[Valor]),IF(Diagnostico[[#This Row],[Problema]]=5,20*_xlfn.XLOOKUP("p_cont",Probabilidades[Concepto],Probabilidades[Valor]),IF(Diagnostico[[#This Row],[Problema]]=6,42*_xlfn.XLOOKUP("p_cont",Probabilidades[Concepto],Probabilidades[Valor]),0))))))</f>
        <v>8.615731199999999</v>
      </c>
      <c r="X53" s="4">
        <f>IF(Diagnostico[[#This Row],[Problema]]=1,0,IF(Diagnostico[[#This Row],[Problema]]=2,10/60*_xlfn.XLOOKUP("Admisibles",Volumenes[Rama],Volumenes[Casos])+9/60*_xlfn.XLOOKUP("Continúan a retiro",Volumenes[Rama],Volumenes[Casos]),IF(Diagnostico[[#This Row],[Problema]]=3,(22+15)/60*_xlfn.XLOOKUP("Casos con reproceso",Volumenes[Rama],Volumenes[Casos]),IF(Diagnostico[[#This Row],[Problema]]=4,(6+8)/60*_xlfn.XLOOKUP(" Autorización gerencial",Volumenes[Rama],Volumenes[Casos]),IF(Diagnostico[[#This Row],[Problema]]=5,10/60*_xlfn.XLOOKUP("Continúan a retiro",Volumenes[Rama],Volumenes[Casos]),IF(Diagnostico[[#This Row],[Problema]]=6,0,20/60*_xlfn.XLOOKUP("Rechazadas por plazo",Volumenes[Rama],Volumenes[Casos])))))))</f>
        <v>57.842559786666669</v>
      </c>
      <c r="Y53" s="5">
        <f>IF(Diagnostico[[#This Row],[Problema]]=1,0,IF(Diagnostico[[#This Row],[Problema]]=2,10/60*11000*_xlfn.XLOOKUP("Admisibles",Volumenes[Rama],Volumenes[Casos])+9/60*9200*_xlfn.XLOOKUP("Continúan a retiro",Volumenes[Rama],Volumenes[Casos]),IF(Diagnostico[[#This Row],[Problema]]=3,(22/60*6500+15/60*9200)*_xlfn.XLOOKUP("Casos con reproceso",Volumenes[Rama],Volumenes[Casos]),IF(Diagnostico[[#This Row],[Problema]]=4,(6/60*6500+8/60*18000)*_xlfn.XLOOKUP(" Autorización gerencial",Volumenes[Rama],Volumenes[Casos]),IF(Diagnostico[[#This Row],[Problema]]=5,10/60*5800*_xlfn.XLOOKUP("Continúan a retiro",Volumenes[Rama],Volumenes[Casos]),IF(Diagnostico[[#This Row],[Problema]]=6,0,20/60*6500*_xlfn.XLOOKUP("Rechazadas por plazo",Volumenes[Rama],Volumenes[Casos])))))))</f>
        <v>588539.55003733328</v>
      </c>
    </row>
    <row r="54" spans="3:25" x14ac:dyDescent="0.2">
      <c r="C54" t="s">
        <v>17</v>
      </c>
      <c r="I54" s="4">
        <f>SUBTOTAL(109,Actividades[HorasPersona])</f>
        <v>413.30022116693334</v>
      </c>
      <c r="J54" s="5">
        <f>SUBTOTAL(109,Actividades[CostoLaboral])</f>
        <v>3209208.6305378126</v>
      </c>
      <c r="K54" s="5">
        <f>SUBTOTAL(109,Actividades[Costo de terceros])</f>
        <v>1025281.2006400001</v>
      </c>
      <c r="T54">
        <v>3</v>
      </c>
      <c r="U54" t="s">
        <v>141</v>
      </c>
      <c r="V54" t="s">
        <v>142</v>
      </c>
      <c r="W54" s="4">
        <f>IF(Diagnostico[[#This Row],[Problema]]=1,84*_xlfn.XLOOKUP("p_cont",Probabilidades[Concepto],Probabilidades[Valor]),IF(Diagnostico[[#This Row],[Problema]]=2,6*_xlfn.XLOOKUP("p_adm ",Probabilidades[Concepto],Probabilidades[Valor])+6*_xlfn.XLOOKUP("p_cont",Probabilidades[Concepto],Probabilidades[Valor]),IF(Diagnostico[[#This Row],[Problema]]=3,24*_xlfn.XLOOKUP("Tasa_de_reproceso",Parametros[Parametro],Parametros[Valor])*_xlfn.XLOOKUP("p_cont",Probabilidades[Concepto],Probabilidades[Valor]),IF(Diagnostico[[#This Row],[Problema]]=4,52*_xlfn.XLOOKUP("p_adm ",Probabilidades[Concepto],Probabilidades[Valor])*_xlfn.XLOOKUP("p_U",Probabilidades[Concepto],Probabilidades[Valor]),IF(Diagnostico[[#This Row],[Problema]]=5,20*_xlfn.XLOOKUP("p_cont",Probabilidades[Concepto],Probabilidades[Valor]),IF(Diagnostico[[#This Row],[Problema]]=6,42*_xlfn.XLOOKUP("p_cont",Probabilidades[Concepto],Probabilidades[Valor]),0))))))</f>
        <v>1.5032632320000001</v>
      </c>
      <c r="X54" s="4">
        <f>IF(Diagnostico[[#This Row],[Problema]]=1,0,IF(Diagnostico[[#This Row],[Problema]]=2,10/60*_xlfn.XLOOKUP("Admisibles",Volumenes[Rama],Volumenes[Casos])+9/60*_xlfn.XLOOKUP("Continúan a retiro",Volumenes[Rama],Volumenes[Casos]),IF(Diagnostico[[#This Row],[Problema]]=3,(22+15)/60*_xlfn.XLOOKUP("Casos con reproceso",Volumenes[Rama],Volumenes[Casos]),IF(Diagnostico[[#This Row],[Problema]]=4,(6+8)/60*_xlfn.XLOOKUP(" Autorización gerencial",Volumenes[Rama],Volumenes[Casos]),IF(Diagnostico[[#This Row],[Problema]]=5,10/60*_xlfn.XLOOKUP("Continúan a retiro",Volumenes[Rama],Volumenes[Casos]),IF(Diagnostico[[#This Row],[Problema]]=6,0,20/60*_xlfn.XLOOKUP("Rechazadas por plazo",Volumenes[Rama],Volumenes[Casos])))))))</f>
        <v>9.8108804543999995</v>
      </c>
      <c r="Y54" s="5">
        <f>IF(Diagnostico[[#This Row],[Problema]]=1,0,IF(Diagnostico[[#This Row],[Problema]]=2,10/60*11000*_xlfn.XLOOKUP("Admisibles",Volumenes[Rama],Volumenes[Casos])+9/60*9200*_xlfn.XLOOKUP("Continúan a retiro",Volumenes[Rama],Volumenes[Casos]),IF(Diagnostico[[#This Row],[Problema]]=3,(22/60*6500+15/60*9200)*_xlfn.XLOOKUP("Casos con reproceso",Volumenes[Rama],Volumenes[Casos]),IF(Diagnostico[[#This Row],[Problema]]=4,(6/60*6500+8/60*18000)*_xlfn.XLOOKUP(" Autorización gerencial",Volumenes[Rama],Volumenes[Casos]),IF(Diagnostico[[#This Row],[Problema]]=5,10/60*5800*_xlfn.XLOOKUP("Continúan a retiro",Volumenes[Rama],Volumenes[Casos]),IF(Diagnostico[[#This Row],[Problema]]=6,0,20/60*6500*_xlfn.XLOOKUP("Rechazadas por plazo",Volumenes[Rama],Volumenes[Casos])))))))</f>
        <v>74509.659667199987</v>
      </c>
    </row>
    <row r="55" spans="3:25" x14ac:dyDescent="0.2">
      <c r="T55">
        <v>4</v>
      </c>
      <c r="U55" t="s">
        <v>143</v>
      </c>
      <c r="V55" t="s">
        <v>144</v>
      </c>
      <c r="W55" s="4">
        <f>IF(Diagnostico[[#This Row],[Problema]]=1,84*_xlfn.XLOOKUP("p_cont",Probabilidades[Concepto],Probabilidades[Valor]),IF(Diagnostico[[#This Row],[Problema]]=2,6*_xlfn.XLOOKUP("p_adm ",Probabilidades[Concepto],Probabilidades[Valor])+6*_xlfn.XLOOKUP("p_cont",Probabilidades[Concepto],Probabilidades[Valor]),IF(Diagnostico[[#This Row],[Problema]]=3,24*_xlfn.XLOOKUP("Tasa_de_reproceso",Parametros[Parametro],Parametros[Valor])*_xlfn.XLOOKUP("p_cont",Probabilidades[Concepto],Probabilidades[Valor]),IF(Diagnostico[[#This Row],[Problema]]=4,52*_xlfn.XLOOKUP("p_adm ",Probabilidades[Concepto],Probabilidades[Valor])*_xlfn.XLOOKUP("p_U",Probabilidades[Concepto],Probabilidades[Valor]),IF(Diagnostico[[#This Row],[Problema]]=5,20*_xlfn.XLOOKUP("p_cont",Probabilidades[Concepto],Probabilidades[Valor]),IF(Diagnostico[[#This Row],[Problema]]=6,42*_xlfn.XLOOKUP("p_cont",Probabilidades[Concepto],Probabilidades[Valor]),0))))))</f>
        <v>28.629119999999997</v>
      </c>
      <c r="X55" s="4">
        <f>IF(Diagnostico[[#This Row],[Problema]]=1,0,IF(Diagnostico[[#This Row],[Problema]]=2,10/60*_xlfn.XLOOKUP("Admisibles",Volumenes[Rama],Volumenes[Casos])+9/60*_xlfn.XLOOKUP("Continúan a retiro",Volumenes[Rama],Volumenes[Casos]),IF(Diagnostico[[#This Row],[Problema]]=3,(22+15)/60*_xlfn.XLOOKUP("Casos con reproceso",Volumenes[Rama],Volumenes[Casos]),IF(Diagnostico[[#This Row],[Problema]]=4,(6+8)/60*_xlfn.XLOOKUP(" Autorización gerencial",Volumenes[Rama],Volumenes[Casos]),IF(Diagnostico[[#This Row],[Problema]]=5,10/60*_xlfn.XLOOKUP("Continúan a retiro",Volumenes[Rama],Volumenes[Casos]),IF(Diagnostico[[#This Row],[Problema]]=6,0,20/60*_xlfn.XLOOKUP("Rechazadas por plazo",Volumenes[Rama],Volumenes[Casos])))))))</f>
        <v>32.629855999999997</v>
      </c>
      <c r="Y55" s="5">
        <f>IF(Diagnostico[[#This Row],[Problema]]=1,0,IF(Diagnostico[[#This Row],[Problema]]=2,10/60*11000*_xlfn.XLOOKUP("Admisibles",Volumenes[Rama],Volumenes[Casos])+9/60*9200*_xlfn.XLOOKUP("Continúan a retiro",Volumenes[Rama],Volumenes[Casos]),IF(Diagnostico[[#This Row],[Problema]]=3,(22/60*6500+15/60*9200)*_xlfn.XLOOKUP("Casos con reproceso",Volumenes[Rama],Volumenes[Casos]),IF(Diagnostico[[#This Row],[Problema]]=4,(6/60*6500+8/60*18000)*_xlfn.XLOOKUP(" Autorización gerencial",Volumenes[Rama],Volumenes[Casos]),IF(Diagnostico[[#This Row],[Problema]]=5,10/60*5800*_xlfn.XLOOKUP("Continúan a retiro",Volumenes[Rama],Volumenes[Casos]),IF(Diagnostico[[#This Row],[Problema]]=6,0,20/60*6500*_xlfn.XLOOKUP("Rechazadas por plazo",Volumenes[Rama],Volumenes[Casos])))))))</f>
        <v>426518.83199999994</v>
      </c>
    </row>
    <row r="56" spans="3:25" x14ac:dyDescent="0.2">
      <c r="D56" s="5">
        <f>Actividades[[#Totals],[CostoLaboral]]+Actividades[[#Totals],[Costo de terceros]]</f>
        <v>4234489.831177813</v>
      </c>
      <c r="T56">
        <v>5</v>
      </c>
      <c r="U56" t="s">
        <v>145</v>
      </c>
      <c r="V56" t="s">
        <v>146</v>
      </c>
      <c r="W56" s="4">
        <f>IF(Diagnostico[[#This Row],[Problema]]=1,84*_xlfn.XLOOKUP("p_cont",Probabilidades[Concepto],Probabilidades[Valor]),IF(Diagnostico[[#This Row],[Problema]]=2,6*_xlfn.XLOOKUP("p_adm ",Probabilidades[Concepto],Probabilidades[Valor])+6*_xlfn.XLOOKUP("p_cont",Probabilidades[Concepto],Probabilidades[Valor]),IF(Diagnostico[[#This Row],[Problema]]=3,24*_xlfn.XLOOKUP("Tasa_de_reproceso",Parametros[Parametro],Parametros[Valor])*_xlfn.XLOOKUP("p_cont",Probabilidades[Concepto],Probabilidades[Valor]),IF(Diagnostico[[#This Row],[Problema]]=4,52*_xlfn.XLOOKUP("p_adm ",Probabilidades[Concepto],Probabilidades[Valor])*_xlfn.XLOOKUP("p_U",Probabilidades[Concepto],Probabilidades[Valor]),IF(Diagnostico[[#This Row],[Problema]]=5,20*_xlfn.XLOOKUP("p_cont",Probabilidades[Concepto],Probabilidades[Valor]),IF(Diagnostico[[#This Row],[Problema]]=6,42*_xlfn.XLOOKUP("p_cont",Probabilidades[Concepto],Probabilidades[Valor]),0))))))</f>
        <v>13.919104000000001</v>
      </c>
      <c r="X56" s="4">
        <f>IF(Diagnostico[[#This Row],[Problema]]=1,0,IF(Diagnostico[[#This Row],[Problema]]=2,10/60*_xlfn.XLOOKUP("Admisibles",Volumenes[Rama],Volumenes[Casos])+9/60*_xlfn.XLOOKUP("Continúan a retiro",Volumenes[Rama],Volumenes[Casos]),IF(Diagnostico[[#This Row],[Problema]]=3,(22+15)/60*_xlfn.XLOOKUP("Casos con reproceso",Volumenes[Rama],Volumenes[Casos]),IF(Diagnostico[[#This Row],[Problema]]=4,(6+8)/60*_xlfn.XLOOKUP(" Autorización gerencial",Volumenes[Rama],Volumenes[Casos]),IF(Diagnostico[[#This Row],[Problema]]=5,10/60*_xlfn.XLOOKUP("Continúan a retiro",Volumenes[Rama],Volumenes[Casos]),IF(Diagnostico[[#This Row],[Problema]]=6,0,20/60*_xlfn.XLOOKUP("Rechazadas por plazo",Volumenes[Rama],Volumenes[Casos])))))))</f>
        <v>29.462103466666665</v>
      </c>
      <c r="Y56" s="5">
        <f>IF(Diagnostico[[#This Row],[Problema]]=1,0,IF(Diagnostico[[#This Row],[Problema]]=2,10/60*11000*_xlfn.XLOOKUP("Admisibles",Volumenes[Rama],Volumenes[Casos])+9/60*9200*_xlfn.XLOOKUP("Continúan a retiro",Volumenes[Rama],Volumenes[Casos]),IF(Diagnostico[[#This Row],[Problema]]=3,(22/60*6500+15/60*9200)*_xlfn.XLOOKUP("Casos con reproceso",Volumenes[Rama],Volumenes[Casos]),IF(Diagnostico[[#This Row],[Problema]]=4,(6/60*6500+8/60*18000)*_xlfn.XLOOKUP(" Autorización gerencial",Volumenes[Rama],Volumenes[Casos]),IF(Diagnostico[[#This Row],[Problema]]=5,10/60*5800*_xlfn.XLOOKUP("Continúan a retiro",Volumenes[Rama],Volumenes[Casos]),IF(Diagnostico[[#This Row],[Problema]]=6,0,20/60*6500*_xlfn.XLOOKUP("Rechazadas por plazo",Volumenes[Rama],Volumenes[Casos])))))))</f>
        <v>170880.20010666666</v>
      </c>
    </row>
    <row r="57" spans="3:25" x14ac:dyDescent="0.2">
      <c r="C57" s="2" t="s">
        <v>86</v>
      </c>
      <c r="D57" s="5">
        <f>D56/_xlfn.XLOOKUP("Volumen_mensual ",Parametros[Parametro],Parametros[Valor])</f>
        <v>16671.219807786667</v>
      </c>
      <c r="T57">
        <v>6</v>
      </c>
      <c r="U57" t="s">
        <v>137</v>
      </c>
      <c r="V57" t="s">
        <v>147</v>
      </c>
      <c r="W57" s="4">
        <f>IF(Diagnostico[[#This Row],[Problema]]=1,84*_xlfn.XLOOKUP("p_cont",Probabilidades[Concepto],Probabilidades[Valor]),IF(Diagnostico[[#This Row],[Problema]]=2,6*_xlfn.XLOOKUP("p_adm ",Probabilidades[Concepto],Probabilidades[Valor])+6*_xlfn.XLOOKUP("p_cont",Probabilidades[Concepto],Probabilidades[Valor]),IF(Diagnostico[[#This Row],[Problema]]=3,24*_xlfn.XLOOKUP("Tasa_de_reproceso",Parametros[Parametro],Parametros[Valor])*_xlfn.XLOOKUP("p_cont",Probabilidades[Concepto],Probabilidades[Valor]),IF(Diagnostico[[#This Row],[Problema]]=4,52*_xlfn.XLOOKUP("p_adm ",Probabilidades[Concepto],Probabilidades[Valor])*_xlfn.XLOOKUP("p_U",Probabilidades[Concepto],Probabilidades[Valor]),IF(Diagnostico[[#This Row],[Problema]]=5,20*_xlfn.XLOOKUP("p_cont",Probabilidades[Concepto],Probabilidades[Valor]),IF(Diagnostico[[#This Row],[Problema]]=6,42*_xlfn.XLOOKUP("p_cont",Probabilidades[Concepto],Probabilidades[Valor]),0))))))</f>
        <v>29.230118399999999</v>
      </c>
      <c r="X57" s="4">
        <f>IF(Diagnostico[[#This Row],[Problema]]=1,0,IF(Diagnostico[[#This Row],[Problema]]=2,10/60*_xlfn.XLOOKUP("Admisibles",Volumenes[Rama],Volumenes[Casos])+9/60*_xlfn.XLOOKUP("Continúan a retiro",Volumenes[Rama],Volumenes[Casos]),IF(Diagnostico[[#This Row],[Problema]]=3,(22+15)/60*_xlfn.XLOOKUP("Casos con reproceso",Volumenes[Rama],Volumenes[Casos]),IF(Diagnostico[[#This Row],[Problema]]=4,(6+8)/60*_xlfn.XLOOKUP(" Autorización gerencial",Volumenes[Rama],Volumenes[Casos]),IF(Diagnostico[[#This Row],[Problema]]=5,10/60*_xlfn.XLOOKUP("Continúan a retiro",Volumenes[Rama],Volumenes[Casos]),IF(Diagnostico[[#This Row],[Problema]]=6,0,20/60*_xlfn.XLOOKUP("Rechazadas por plazo",Volumenes[Rama],Volumenes[Casos])))))))</f>
        <v>0</v>
      </c>
      <c r="Y57" s="5">
        <f>IF(Diagnostico[[#This Row],[Problema]]=1,0,IF(Diagnostico[[#This Row],[Problema]]=2,10/60*11000*_xlfn.XLOOKUP("Admisibles",Volumenes[Rama],Volumenes[Casos])+9/60*9200*_xlfn.XLOOKUP("Continúan a retiro",Volumenes[Rama],Volumenes[Casos]),IF(Diagnostico[[#This Row],[Problema]]=3,(22/60*6500+15/60*9200)*_xlfn.XLOOKUP("Casos con reproceso",Volumenes[Rama],Volumenes[Casos]),IF(Diagnostico[[#This Row],[Problema]]=4,(6/60*6500+8/60*18000)*_xlfn.XLOOKUP(" Autorización gerencial",Volumenes[Rama],Volumenes[Casos]),IF(Diagnostico[[#This Row],[Problema]]=5,10/60*5800*_xlfn.XLOOKUP("Continúan a retiro",Volumenes[Rama],Volumenes[Casos]),IF(Diagnostico[[#This Row],[Problema]]=6,0,20/60*6500*_xlfn.XLOOKUP("Rechazadas por plazo",Volumenes[Rama],Volumenes[Casos])))))))</f>
        <v>0</v>
      </c>
    </row>
    <row r="58" spans="3:25" x14ac:dyDescent="0.2">
      <c r="C58" s="2" t="s">
        <v>87</v>
      </c>
      <c r="D58" s="5">
        <f>Actividades[[#Totals],[HorasPersona]]/_xlfn.XLOOKUP("Horas_Jornada_completa",Parametros[Parametro],Parametros[Valor])</f>
        <v>2.5831263822933335</v>
      </c>
      <c r="T58">
        <v>7</v>
      </c>
      <c r="U58" t="s">
        <v>143</v>
      </c>
      <c r="V58" t="s">
        <v>148</v>
      </c>
      <c r="W58" s="4">
        <f>IF(Diagnostico[[#This Row],[Problema]]=1,84*_xlfn.XLOOKUP("p_cont",Probabilidades[Concepto],Probabilidades[Valor]),IF(Diagnostico[[#This Row],[Problema]]=2,6*_xlfn.XLOOKUP("p_adm ",Probabilidades[Concepto],Probabilidades[Valor])+6*_xlfn.XLOOKUP("p_cont",Probabilidades[Concepto],Probabilidades[Valor]),IF(Diagnostico[[#This Row],[Problema]]=3,24*_xlfn.XLOOKUP("Tasa_de_reproceso",Parametros[Parametro],Parametros[Valor])*_xlfn.XLOOKUP("p_cont",Probabilidades[Concepto],Probabilidades[Valor]),IF(Diagnostico[[#This Row],[Problema]]=4,52*_xlfn.XLOOKUP("p_adm ",Probabilidades[Concepto],Probabilidades[Valor])*_xlfn.XLOOKUP("p_U",Probabilidades[Concepto],Probabilidades[Valor]),IF(Diagnostico[[#This Row],[Problema]]=5,20*_xlfn.XLOOKUP("p_cont",Probabilidades[Concepto],Probabilidades[Valor]),IF(Diagnostico[[#This Row],[Problema]]=6,42*_xlfn.XLOOKUP("p_cont",Probabilidades[Concepto],Probabilidades[Valor]),0))))))</f>
        <v>0</v>
      </c>
      <c r="X58" s="4">
        <f>IF(Diagnostico[[#This Row],[Problema]]=1,0,IF(Diagnostico[[#This Row],[Problema]]=2,10/60*_xlfn.XLOOKUP("Admisibles",Volumenes[Rama],Volumenes[Casos])+9/60*_xlfn.XLOOKUP("Continúan a retiro",Volumenes[Rama],Volumenes[Casos]),IF(Diagnostico[[#This Row],[Problema]]=3,(22+15)/60*_xlfn.XLOOKUP("Casos con reproceso",Volumenes[Rama],Volumenes[Casos]),IF(Diagnostico[[#This Row],[Problema]]=4,(6+8)/60*_xlfn.XLOOKUP(" Autorización gerencial",Volumenes[Rama],Volumenes[Casos]),IF(Diagnostico[[#This Row],[Problema]]=5,10/60*_xlfn.XLOOKUP("Continúan a retiro",Volumenes[Rama],Volumenes[Casos]),IF(Diagnostico[[#This Row],[Problema]]=6,0,20/60*_xlfn.XLOOKUP("Rechazadas por plazo",Volumenes[Rama],Volumenes[Casos])))))))</f>
        <v>22.013333333333335</v>
      </c>
      <c r="Y58" s="5">
        <f>IF(Diagnostico[[#This Row],[Problema]]=1,0,IF(Diagnostico[[#This Row],[Problema]]=2,10/60*11000*_xlfn.XLOOKUP("Admisibles",Volumenes[Rama],Volumenes[Casos])+9/60*9200*_xlfn.XLOOKUP("Continúan a retiro",Volumenes[Rama],Volumenes[Casos]),IF(Diagnostico[[#This Row],[Problema]]=3,(22/60*6500+15/60*9200)*_xlfn.XLOOKUP("Casos con reproceso",Volumenes[Rama],Volumenes[Casos]),IF(Diagnostico[[#This Row],[Problema]]=4,(6/60*6500+8/60*18000)*_xlfn.XLOOKUP(" Autorización gerencial",Volumenes[Rama],Volumenes[Casos]),IF(Diagnostico[[#This Row],[Problema]]=5,10/60*5800*_xlfn.XLOOKUP("Continúan a retiro",Volumenes[Rama],Volumenes[Casos]),IF(Diagnostico[[#This Row],[Problema]]=6,0,20/60*6500*_xlfn.XLOOKUP("Rechazadas por plazo",Volumenes[Rama],Volumenes[Casos])))))))</f>
        <v>143086.66666666666</v>
      </c>
    </row>
    <row r="59" spans="3:25" x14ac:dyDescent="0.2">
      <c r="C59" s="2" t="s">
        <v>88</v>
      </c>
      <c r="D59" s="4">
        <f>Actividades[[#Totals],[HorasPersona]]/_xlfn.XLOOKUP("Horas_Jornada_completa",Parametros[Parametro],Parametros[Valor])</f>
        <v>2.5831263822933335</v>
      </c>
      <c r="T59" t="s">
        <v>17</v>
      </c>
      <c r="W59" s="4">
        <f>SUBTOTAL(109,Diagnostico[Delta_Ciclo_h])</f>
        <v>140.357573632</v>
      </c>
      <c r="X59" s="4">
        <f>SUBTOTAL(109,Diagnostico[HorasPersona_mes])</f>
        <v>151.75873304106665</v>
      </c>
      <c r="Y59" s="5">
        <f>SUBTOTAL(109,Diagnostico[Pesos_mes])</f>
        <v>1403534.9084778666</v>
      </c>
    </row>
    <row r="61" spans="3:25" x14ac:dyDescent="0.2">
      <c r="T61" s="2" t="s">
        <v>149</v>
      </c>
      <c r="U61" s="6">
        <f>Diagnostico[[#Totals],[Delta_Ciclo_h]]/Trazas[[#Totals],[Prob_x_Ciclo]]</f>
        <v>0.57491467237866789</v>
      </c>
    </row>
    <row r="62" spans="3:25" x14ac:dyDescent="0.2">
      <c r="T62" s="2" t="s">
        <v>150</v>
      </c>
      <c r="U62" s="6">
        <f>Diagnostico[[#Totals],[Pesos_mes]]/D56</f>
        <v>0.33145312999546789</v>
      </c>
    </row>
    <row r="63" spans="3:25" x14ac:dyDescent="0.2">
      <c r="C63" t="s">
        <v>90</v>
      </c>
      <c r="D63" t="s">
        <v>53</v>
      </c>
      <c r="E63" t="s">
        <v>54</v>
      </c>
    </row>
    <row r="64" spans="3:25" x14ac:dyDescent="0.2">
      <c r="C64" t="s">
        <v>91</v>
      </c>
      <c r="D64">
        <f>_xlfn.XLOOKUP("Registrar la solicitud",Actividades[Actividad],Actividades[Trabajo_min])+_xlfn.XLOOKUP("Verificar boleta y plazo",Actividades[Actividad],Actividades[Trabajo_min])</f>
        <v>20</v>
      </c>
      <c r="E64">
        <f>_xlfn.XLOOKUP("Registrar la solicitud",Actividades[Actividad],Actividades[Espera_h])+_xlfn.XLOOKUP("Verificar boleta y plazo",Actividades[Actividad],Actividades[Espera_h])</f>
        <v>6</v>
      </c>
    </row>
    <row r="65" spans="3:16" x14ac:dyDescent="0.2">
      <c r="C65" t="s">
        <v>92</v>
      </c>
      <c r="D65">
        <f>_xlfn.XLOOKUP("Pedir fotos al cliente",Actividades[Actividad],Actividades[Trabajo_min])</f>
        <v>5</v>
      </c>
      <c r="E65">
        <f>_xlfn.XLOOKUP("Pedir fotos al cliente",Actividades[Actividad],Actividades[Espera_h])</f>
        <v>48</v>
      </c>
    </row>
    <row r="66" spans="3:16" x14ac:dyDescent="0.2">
      <c r="C66" t="s">
        <v>93</v>
      </c>
      <c r="D66">
        <f>_xlfn.XLOOKUP("Revisar y autorizar",Actividades[Actividad],Actividades[Trabajo_min])</f>
        <v>10</v>
      </c>
      <c r="E66">
        <f>_xlfn.XLOOKUP("Revisar y autorizar",Actividades[Actividad],Actividades[Espera_h])</f>
        <v>6</v>
      </c>
    </row>
    <row r="67" spans="3:16" x14ac:dyDescent="0.2">
      <c r="C67" t="s">
        <v>94</v>
      </c>
      <c r="D67">
        <f>_xlfn.XLOOKUP("Solicitar aprobacion gerencial",Actividades[Actividad],Actividades[Trabajo_min])+_xlfn.XLOOKUP("Resolver la aprobacion",Actividades[Actividad],Actividades[Trabajo_min])</f>
        <v>14</v>
      </c>
      <c r="E67">
        <f>_xlfn.XLOOKUP("Solicitar aprobacion gerencial",Actividades[Actividad],Actividades[Espera_h])+_xlfn.XLOOKUP("Resolver la aprobacion",Actividades[Actividad],Actividades[Espera_h])</f>
        <v>52</v>
      </c>
    </row>
    <row r="68" spans="3:16" x14ac:dyDescent="0.2">
      <c r="C68" t="s">
        <v>95</v>
      </c>
      <c r="D68">
        <f>_xlfn.XLOOKUP("Agendar el retiro",Actividades[Actividad],Actividades[Trabajo_min])+_xlfn.XLOOKUP("Traslado del courier",Actividades[Actividad],Actividades[Trabajo_min])</f>
        <v>15</v>
      </c>
      <c r="E68">
        <f>_xlfn.XLOOKUP("Agendar el retiro",Actividades[Actividad],Actividades[Espera_h])+_xlfn.XLOOKUP("Traslado del courier",Actividades[Actividad],Actividades[Espera_h])</f>
        <v>96</v>
      </c>
    </row>
    <row r="69" spans="3:16" x14ac:dyDescent="0.2">
      <c r="C69" t="s">
        <v>96</v>
      </c>
      <c r="D69">
        <f>_xlfn.XLOOKUP("Zona de pendientes",Actividades[Actividad],Actividades[Trabajo_min])+_xlfn.XLOOKUP("Inspeccionar",Actividades[Actividad],Actividades[Trabajo_min])+_xlfn.XLOOKUP("Digitar en WMS y avisar",Actividades[Actividad],Actividades[Trabajo_min])</f>
        <v>35</v>
      </c>
      <c r="E69">
        <f>_xlfn.XLOOKUP("Zona de pendientes",Actividades[Actividad],Actividades[Espera_h])+_xlfn.XLOOKUP("Inspeccionar",Actividades[Actividad],Actividades[Espera_h])+_xlfn.XLOOKUP("Digitar en WMS y avisar",Actividades[Actividad],Actividades[Espera_h])</f>
        <v>38</v>
      </c>
    </row>
    <row r="70" spans="3:16" x14ac:dyDescent="0.2">
      <c r="C70" t="s">
        <v>97</v>
      </c>
      <c r="D70">
        <f>_xlfn.XLOOKUP("Reacondicionar en taller",Actividades[Actividad],Actividades[Trabajo_min])</f>
        <v>65</v>
      </c>
      <c r="E70">
        <f>_xlfn.XLOOKUP("Reacondicionar en taller",Actividades[Actividad],Actividades[Espera_h])</f>
        <v>120</v>
      </c>
    </row>
    <row r="71" spans="3:16" x14ac:dyDescent="0.2">
      <c r="C71" t="s">
        <v>98</v>
      </c>
      <c r="D71">
        <f>_xlfn.XLOOKUP("Revalidar en Finanzas",Actividades[Actividad],Actividades[Trabajo_min])+_xlfn.XLOOKUP("Emitir el reembolso en lote",Actividades[Actividad],Actividades[Trabajo_min])+_xlfn.XLOOKUP("Procesar pasarela",Actividades[Actividad],Actividades[Trabajo_min])</f>
        <v>23</v>
      </c>
      <c r="E71">
        <f>_xlfn.XLOOKUP("Revalidar en Finanzas",Actividades[Actividad],Actividades[Espera_h])+_xlfn.XLOOKUP("Emitir el reembolso en lote",Actividades[Actividad],Actividades[Espera_h])+_xlfn.XLOOKUP("Procesar pasarela",Actividades[Actividad],Actividades[Espera_h])</f>
        <v>90</v>
      </c>
    </row>
    <row r="72" spans="3:16" x14ac:dyDescent="0.2">
      <c r="C72" t="s">
        <v>99</v>
      </c>
      <c r="D72">
        <f>_xlfn.XLOOKUP("Reproceso recaptura N1",Actividades[Actividad],Actividades[Trabajo_min])+_xlfn.XLOOKUP("Reproceso recalculo Finanzas",Actividades[Actividad],Actividades[Trabajo_min])+_xlfn.XLOOKUP("Reproceso espera del cliente",Actividades[Actividad],Actividades[Trabajo_min])</f>
        <v>37</v>
      </c>
      <c r="E72">
        <f>_xlfn.XLOOKUP("Reproceso recaptura N1",Actividades[Actividad],Actividades[Espera_h])+_xlfn.XLOOKUP("Reproceso recalculo Finanzas",Actividades[Actividad],Actividades[Espera_h])+_xlfn.XLOOKUP("Reproceso espera del cliente",Actividades[Actividad],Actividades[Espera_h])</f>
        <v>24</v>
      </c>
    </row>
    <row r="75" spans="3:16" x14ac:dyDescent="0.2">
      <c r="C75" t="s">
        <v>100</v>
      </c>
      <c r="D75" t="s">
        <v>101</v>
      </c>
      <c r="E75" t="s">
        <v>94</v>
      </c>
      <c r="F75" t="s">
        <v>97</v>
      </c>
      <c r="G75" t="s">
        <v>99</v>
      </c>
      <c r="H75" t="s">
        <v>37</v>
      </c>
      <c r="I75" t="s">
        <v>53</v>
      </c>
      <c r="J75" t="s">
        <v>54</v>
      </c>
      <c r="K75" t="s">
        <v>102</v>
      </c>
      <c r="L75" t="s">
        <v>103</v>
      </c>
      <c r="M75" t="s">
        <v>104</v>
      </c>
      <c r="N75" t="s">
        <v>105</v>
      </c>
      <c r="O75" t="s">
        <v>106</v>
      </c>
      <c r="P75" t="s">
        <v>28</v>
      </c>
    </row>
    <row r="76" spans="3:16" x14ac:dyDescent="0.2">
      <c r="C76" t="s">
        <v>107</v>
      </c>
      <c r="D76" t="s">
        <v>108</v>
      </c>
      <c r="E76">
        <v>0</v>
      </c>
      <c r="F76">
        <v>0</v>
      </c>
      <c r="G76">
        <v>0</v>
      </c>
      <c r="H76" s="7">
        <f>_xlfn.XLOOKUP("p_plazo",Probabilidades[Concepto],Probabilidades[Valor])</f>
        <v>0.26</v>
      </c>
      <c r="I76">
        <f>_xlfn.XLOOKUP("A",Bloques[Codigo],Bloques[Trabajo_min])</f>
        <v>20</v>
      </c>
      <c r="J76" s="4">
        <f>_xlfn.XLOOKUP("A",Bloques[Codigo],Bloques[Espera_h])</f>
        <v>6</v>
      </c>
      <c r="K76" s="4">
        <f>Trazas[[#This Row],[Trabajo_min]]/60+Trazas[[#This Row],[Espera_h]]</f>
        <v>6.333333333333333</v>
      </c>
      <c r="L76" s="4">
        <f>Trazas[[#This Row],[Ciclo_h]]/24</f>
        <v>0.2638888888888889</v>
      </c>
      <c r="M76" s="6">
        <f>(Trazas[[#This Row],[Trabajo_min]]/60)/Trazas[[#This Row],[Ciclo_h]]</f>
        <v>5.2631578947368418E-2</v>
      </c>
      <c r="N76" s="4">
        <f>Trazas[[#This Row],[Probabilidad]]*Trazas[[#This Row],[Ciclo_h]]</f>
        <v>1.6466666666666667</v>
      </c>
      <c r="O76" s="4">
        <f>Trazas[[#This Row],[Probabilidad]]*Trazas[[#This Row],[Trabajo_min]]/60</f>
        <v>8.666666666666667E-2</v>
      </c>
      <c r="P76" s="4">
        <f>Trazas[[#This Row],[Probabilidad]]*_xlfn.XLOOKUP("Volumen_mensual ",Parametros[Parametro],Parametros[Valor])</f>
        <v>66.040000000000006</v>
      </c>
    </row>
    <row r="77" spans="3:16" x14ac:dyDescent="0.2">
      <c r="C77" t="s">
        <v>109</v>
      </c>
      <c r="D77" t="s">
        <v>110</v>
      </c>
      <c r="E77">
        <v>1</v>
      </c>
      <c r="F77">
        <v>0</v>
      </c>
      <c r="G77">
        <v>0</v>
      </c>
      <c r="H77" s="7">
        <f>_xlfn.XLOOKUP("p_adm ",Probabilidades[Concepto],Probabilidades[Valor])*_xlfn.XLOOKUP("p_U",Probabilidades[Concepto],Probabilidades[Valor])*_xlfn.XLOOKUP("Rechazo_Gerencial",Parametros[Parametro],Parametros[Valor])</f>
        <v>4.4044799999999995E-2</v>
      </c>
      <c r="I77">
        <f>_xlfn.XLOOKUP("A",Bloques[Codigo],Bloques[Trabajo_min])+_xlfn.XLOOKUP("B",Bloques[Codigo],Bloques[Trabajo_min])+_xlfn.XLOOKUP("C",Bloques[Codigo],Bloques[Trabajo_min])+_xlfn.XLOOKUP("G",Bloques[Codigo],Bloques[Trabajo_min])</f>
        <v>49</v>
      </c>
      <c r="J77" s="4">
        <f>_xlfn.XLOOKUP("A",Bloques[Codigo],Bloques[Espera_h])+_xlfn.XLOOKUP("B",Bloques[Codigo],Bloques[Espera_h])+_xlfn.XLOOKUP("C",Bloques[Codigo],Bloques[Espera_h])+_xlfn.XLOOKUP("G",Bloques[Codigo],Bloques[Espera_h])</f>
        <v>112</v>
      </c>
      <c r="K77" s="4">
        <f>Trazas[[#This Row],[Trabajo_min]]/60+Trazas[[#This Row],[Espera_h]]</f>
        <v>112.81666666666666</v>
      </c>
      <c r="L77" s="4">
        <f>Trazas[[#This Row],[Ciclo_h]]/24</f>
        <v>4.7006944444444443</v>
      </c>
      <c r="M77" s="6">
        <f>(Trazas[[#This Row],[Trabajo_min]]/60)/Trazas[[#This Row],[Ciclo_h]]</f>
        <v>7.2388831437435368E-3</v>
      </c>
      <c r="N77" s="4">
        <f>Trazas[[#This Row],[Probabilidad]]*Trazas[[#This Row],[Ciclo_h]]</f>
        <v>4.9689875199999989</v>
      </c>
      <c r="O77" s="4">
        <f>Trazas[[#This Row],[Probabilidad]]*Trazas[[#This Row],[Trabajo_min]]/60</f>
        <v>3.5969919999999996E-2</v>
      </c>
      <c r="P77" s="4">
        <f>Trazas[[#This Row],[Probabilidad]]*_xlfn.XLOOKUP("Volumen_mensual ",Parametros[Parametro],Parametros[Valor])</f>
        <v>11.187379199999999</v>
      </c>
    </row>
    <row r="78" spans="3:16" x14ac:dyDescent="0.2">
      <c r="C78" t="s">
        <v>111</v>
      </c>
      <c r="D78" t="s">
        <v>112</v>
      </c>
      <c r="E78">
        <v>0</v>
      </c>
      <c r="F78">
        <v>0</v>
      </c>
      <c r="G78">
        <v>0</v>
      </c>
      <c r="H78" s="7">
        <f>_xlfn.XLOOKUP("p_adm ",Probabilidades[Concepto],Probabilidades[Valor])*IF(Trazas[[#This Row],[G]]=1,_xlfn.XLOOKUP("p_U",Probabilidades[Concepto],Probabilidades[Valor])*(1-_xlfn.XLOOKUP("Rechazo_Gerencial",Parametros[Parametro],Parametros[Valor])),1-_xlfn.XLOOKUP("p_U",Probabilidades[Concepto],Probabilidades[Valor]))*IF(Trazas[[#This Row],[T]]=1,_xlfn.XLOOKUP("Tasa_de_productos_dañados",Parametros[Parametro],Parametros[Valor])*_xlfn.XLOOKUP("Reparables",Parametros[Parametro],Parametros[Valor]),1-_xlfn.XLOOKUP("Tasa_de_productos_dañados",Parametros[Parametro],Parametros[Valor])*_xlfn.XLOOKUP("Reparables",Parametros[Parametro],Parametros[Valor]))*IF(Trazas[[#This Row],[R]]=1,_xlfn.XLOOKUP("Tasa_de_reproceso",Parametros[Parametro],Parametros[Valor]),1-_xlfn.XLOOKUP("Tasa_de_reproceso",Parametros[Parametro],Parametros[Valor]))</f>
        <v>0.15066920960000002</v>
      </c>
      <c r="I78">
        <f>_xlfn.XLOOKUP("A",Bloques[Codigo],Bloques[Trabajo_min])+_xlfn.XLOOKUP("B",Bloques[Codigo],Bloques[Trabajo_min])+_xlfn.XLOOKUP("C",Bloques[Codigo],Bloques[Trabajo_min])+Trazas[[#This Row],[G]]*_xlfn.XLOOKUP("G",Bloques[Codigo],Bloques[Trabajo_min])+_xlfn.XLOOKUP("E1",Bloques[Codigo],Bloques[Trabajo_min])+_xlfn.XLOOKUP("E2",Bloques[Codigo],Bloques[Trabajo_min])+Trazas[[#This Row],[T]]*_xlfn.XLOOKUP("T",Bloques[Codigo],Bloques[Trabajo_min])+_xlfn.XLOOKUP("F",Bloques[Codigo],Bloques[Trabajo_min])+Trazas[[#This Row],[R]]*_xlfn.XLOOKUP("R",Bloques[Codigo],Bloques[Trabajo_min])</f>
        <v>108</v>
      </c>
      <c r="J78" s="4">
        <f>_xlfn.XLOOKUP("A",Bloques[Codigo],Bloques[Espera_h])+_xlfn.XLOOKUP("B",Bloques[Codigo],Bloques[Espera_h])+_xlfn.XLOOKUP("C",Bloques[Codigo],Bloques[Espera_h])+Trazas[[#This Row],[G]]*_xlfn.XLOOKUP("G",Bloques[Codigo],Bloques[Espera_h])+_xlfn.XLOOKUP("E1",Bloques[Codigo],Bloques[Espera_h])+_xlfn.XLOOKUP("E2",Bloques[Codigo],Bloques[Espera_h])+Trazas[[#This Row],[T]]*_xlfn.XLOOKUP("T",Bloques[Codigo],Bloques[Espera_h])+_xlfn.XLOOKUP("F",Bloques[Codigo],Bloques[Espera_h])+Trazas[[#This Row],[R]]*_xlfn.XLOOKUP("R",Bloques[Codigo],Bloques[Espera_h])</f>
        <v>284</v>
      </c>
      <c r="K78" s="4">
        <f>Trazas[[#This Row],[Trabajo_min]]/60+Trazas[[#This Row],[Espera_h]]</f>
        <v>285.8</v>
      </c>
      <c r="L78" s="4">
        <f>Trazas[[#This Row],[Ciclo_h]]/24</f>
        <v>11.908333333333333</v>
      </c>
      <c r="M78" s="6">
        <f>(Trazas[[#This Row],[Trabajo_min]]/60)/Trazas[[#This Row],[Ciclo_h]]</f>
        <v>6.298110566829951E-3</v>
      </c>
      <c r="N78" s="4">
        <f>Trazas[[#This Row],[Probabilidad]]*Trazas[[#This Row],[Ciclo_h]]</f>
        <v>43.061260103680006</v>
      </c>
      <c r="O78" s="4">
        <f>Trazas[[#This Row],[Probabilidad]]*Trazas[[#This Row],[Trabajo_min]]/60</f>
        <v>0.27120457728000003</v>
      </c>
      <c r="P78" s="4">
        <f>Trazas[[#This Row],[Probabilidad]]*_xlfn.XLOOKUP("Volumen_mensual ",Parametros[Parametro],Parametros[Valor])</f>
        <v>38.269979238400005</v>
      </c>
    </row>
    <row r="79" spans="3:16" x14ac:dyDescent="0.2">
      <c r="C79" t="s">
        <v>113</v>
      </c>
      <c r="D79" t="s">
        <v>114</v>
      </c>
      <c r="E79">
        <v>0</v>
      </c>
      <c r="F79">
        <v>0</v>
      </c>
      <c r="G79">
        <v>1</v>
      </c>
      <c r="H79" s="7">
        <f>_xlfn.XLOOKUP("p_adm ",Probabilidades[Concepto],Probabilidades[Valor])*IF(Trazas[[#This Row],[G]]=1,_xlfn.XLOOKUP("p_U",Probabilidades[Concepto],Probabilidades[Valor])*(1-_xlfn.XLOOKUP("Rechazo_Gerencial",Parametros[Parametro],Parametros[Valor])),1-_xlfn.XLOOKUP("p_U",Probabilidades[Concepto],Probabilidades[Valor]))*IF(Trazas[[#This Row],[T]]=1,_xlfn.XLOOKUP("Tasa_de_productos_dañados",Parametros[Parametro],Parametros[Valor])*_xlfn.XLOOKUP("Reparables",Parametros[Parametro],Parametros[Valor]),1-_xlfn.XLOOKUP("Tasa_de_productos_dañados",Parametros[Parametro],Parametros[Valor])*_xlfn.XLOOKUP("Reparables",Parametros[Parametro],Parametros[Valor]))*IF(Trazas[[#This Row],[R]]=1,_xlfn.XLOOKUP("Tasa_de_reproceso",Parametros[Parametro],Parametros[Valor]),1-_xlfn.XLOOKUP("Tasa_de_reproceso",Parametros[Parametro],Parametros[Valor]))</f>
        <v>1.4901350399999999E-2</v>
      </c>
      <c r="I79">
        <f>_xlfn.XLOOKUP("A",Bloques[Codigo],Bloques[Trabajo_min])+_xlfn.XLOOKUP("B",Bloques[Codigo],Bloques[Trabajo_min])+_xlfn.XLOOKUP("C",Bloques[Codigo],Bloques[Trabajo_min])+Trazas[[#This Row],[G]]*_xlfn.XLOOKUP("G",Bloques[Codigo],Bloques[Trabajo_min])+_xlfn.XLOOKUP("E1",Bloques[Codigo],Bloques[Trabajo_min])+_xlfn.XLOOKUP("E2",Bloques[Codigo],Bloques[Trabajo_min])+Trazas[[#This Row],[T]]*_xlfn.XLOOKUP("T",Bloques[Codigo],Bloques[Trabajo_min])+_xlfn.XLOOKUP("F",Bloques[Codigo],Bloques[Trabajo_min])+Trazas[[#This Row],[R]]*_xlfn.XLOOKUP("R",Bloques[Codigo],Bloques[Trabajo_min])</f>
        <v>145</v>
      </c>
      <c r="J79" s="4">
        <f>_xlfn.XLOOKUP("A",Bloques[Codigo],Bloques[Espera_h])+_xlfn.XLOOKUP("B",Bloques[Codigo],Bloques[Espera_h])+_xlfn.XLOOKUP("C",Bloques[Codigo],Bloques[Espera_h])+Trazas[[#This Row],[G]]*_xlfn.XLOOKUP("G",Bloques[Codigo],Bloques[Espera_h])+_xlfn.XLOOKUP("E1",Bloques[Codigo],Bloques[Espera_h])+_xlfn.XLOOKUP("E2",Bloques[Codigo],Bloques[Espera_h])+Trazas[[#This Row],[T]]*_xlfn.XLOOKUP("T",Bloques[Codigo],Bloques[Espera_h])+_xlfn.XLOOKUP("F",Bloques[Codigo],Bloques[Espera_h])+Trazas[[#This Row],[R]]*_xlfn.XLOOKUP("R",Bloques[Codigo],Bloques[Espera_h])</f>
        <v>308</v>
      </c>
      <c r="K79" s="4">
        <f>Trazas[[#This Row],[Trabajo_min]]/60+Trazas[[#This Row],[Espera_h]]</f>
        <v>310.41666666666669</v>
      </c>
      <c r="L79" s="4">
        <f>Trazas[[#This Row],[Ciclo_h]]/24</f>
        <v>12.934027777777779</v>
      </c>
      <c r="M79" s="6">
        <f>(Trazas[[#This Row],[Trabajo_min]]/60)/Trazas[[#This Row],[Ciclo_h]]</f>
        <v>7.7852348993288582E-3</v>
      </c>
      <c r="N79" s="4">
        <f>Trazas[[#This Row],[Probabilidad]]*Trazas[[#This Row],[Ciclo_h]]</f>
        <v>4.6256275200000001</v>
      </c>
      <c r="O79" s="4">
        <f>Trazas[[#This Row],[Probabilidad]]*Trazas[[#This Row],[Trabajo_min]]/60</f>
        <v>3.6011596799999997E-2</v>
      </c>
      <c r="P79" s="4">
        <f>Trazas[[#This Row],[Probabilidad]]*_xlfn.XLOOKUP("Volumen_mensual ",Parametros[Parametro],Parametros[Valor])</f>
        <v>3.7849430015999999</v>
      </c>
    </row>
    <row r="80" spans="3:16" x14ac:dyDescent="0.2">
      <c r="C80" t="s">
        <v>115</v>
      </c>
      <c r="D80" t="s">
        <v>116</v>
      </c>
      <c r="E80">
        <v>0</v>
      </c>
      <c r="F80">
        <v>1</v>
      </c>
      <c r="G80">
        <v>0</v>
      </c>
      <c r="H80" s="7">
        <f>_xlfn.XLOOKUP("p_adm ",Probabilidades[Concepto],Probabilidades[Valor])*IF(Trazas[[#This Row],[G]]=1,_xlfn.XLOOKUP("p_U",Probabilidades[Concepto],Probabilidades[Valor])*(1-_xlfn.XLOOKUP("Rechazo_Gerencial",Parametros[Parametro],Parametros[Valor])),1-_xlfn.XLOOKUP("p_U",Probabilidades[Concepto],Probabilidades[Valor]))*IF(Trazas[[#This Row],[T]]=1,_xlfn.XLOOKUP("Tasa_de_productos_dañados",Parametros[Parametro],Parametros[Valor])*_xlfn.XLOOKUP("Reparables",Parametros[Parametro],Parametros[Valor]),1-_xlfn.XLOOKUP("Tasa_de_productos_dañados",Parametros[Parametro],Parametros[Valor])*_xlfn.XLOOKUP("Reparables",Parametros[Parametro],Parametros[Valor]))*IF(Trazas[[#This Row],[R]]=1,_xlfn.XLOOKUP("Tasa_de_reproceso",Parametros[Parametro],Parametros[Valor]),1-_xlfn.XLOOKUP("Tasa_de_reproceso",Parametros[Parametro],Parametros[Valor]))</f>
        <v>2.17211904E-2</v>
      </c>
      <c r="I80">
        <f>_xlfn.XLOOKUP("A",Bloques[Codigo],Bloques[Trabajo_min])+_xlfn.XLOOKUP("B",Bloques[Codigo],Bloques[Trabajo_min])+_xlfn.XLOOKUP("C",Bloques[Codigo],Bloques[Trabajo_min])+Trazas[[#This Row],[G]]*_xlfn.XLOOKUP("G",Bloques[Codigo],Bloques[Trabajo_min])+_xlfn.XLOOKUP("E1",Bloques[Codigo],Bloques[Trabajo_min])+_xlfn.XLOOKUP("E2",Bloques[Codigo],Bloques[Trabajo_min])+Trazas[[#This Row],[T]]*_xlfn.XLOOKUP("T",Bloques[Codigo],Bloques[Trabajo_min])+_xlfn.XLOOKUP("F",Bloques[Codigo],Bloques[Trabajo_min])+Trazas[[#This Row],[R]]*_xlfn.XLOOKUP("R",Bloques[Codigo],Bloques[Trabajo_min])</f>
        <v>173</v>
      </c>
      <c r="J80" s="4">
        <f>_xlfn.XLOOKUP("A",Bloques[Codigo],Bloques[Espera_h])+_xlfn.XLOOKUP("B",Bloques[Codigo],Bloques[Espera_h])+_xlfn.XLOOKUP("C",Bloques[Codigo],Bloques[Espera_h])+Trazas[[#This Row],[G]]*_xlfn.XLOOKUP("G",Bloques[Codigo],Bloques[Espera_h])+_xlfn.XLOOKUP("E1",Bloques[Codigo],Bloques[Espera_h])+_xlfn.XLOOKUP("E2",Bloques[Codigo],Bloques[Espera_h])+Trazas[[#This Row],[T]]*_xlfn.XLOOKUP("T",Bloques[Codigo],Bloques[Espera_h])+_xlfn.XLOOKUP("F",Bloques[Codigo],Bloques[Espera_h])+Trazas[[#This Row],[R]]*_xlfn.XLOOKUP("R",Bloques[Codigo],Bloques[Espera_h])</f>
        <v>404</v>
      </c>
      <c r="K80" s="4">
        <f>Trazas[[#This Row],[Trabajo_min]]/60+Trazas[[#This Row],[Espera_h]]</f>
        <v>406.88333333333333</v>
      </c>
      <c r="L80" s="4">
        <f>Trazas[[#This Row],[Ciclo_h]]/24</f>
        <v>16.953472222222221</v>
      </c>
      <c r="M80" s="6">
        <f>(Trazas[[#This Row],[Trabajo_min]]/60)/Trazas[[#This Row],[Ciclo_h]]</f>
        <v>7.0863883996231513E-3</v>
      </c>
      <c r="N80" s="4">
        <f>Trazas[[#This Row],[Probabilidad]]*Trazas[[#This Row],[Ciclo_h]]</f>
        <v>8.8379903539200004</v>
      </c>
      <c r="O80" s="4">
        <f>Trazas[[#This Row],[Probabilidad]]*Trazas[[#This Row],[Trabajo_min]]/60</f>
        <v>6.2629432319999997E-2</v>
      </c>
      <c r="P80" s="4">
        <f>Trazas[[#This Row],[Probabilidad]]*_xlfn.XLOOKUP("Volumen_mensual ",Parametros[Parametro],Parametros[Valor])</f>
        <v>5.5171823615999998</v>
      </c>
    </row>
    <row r="81" spans="3:16" x14ac:dyDescent="0.2">
      <c r="C81" t="s">
        <v>117</v>
      </c>
      <c r="D81" t="s">
        <v>118</v>
      </c>
      <c r="E81">
        <v>0</v>
      </c>
      <c r="F81">
        <v>1</v>
      </c>
      <c r="G81">
        <v>1</v>
      </c>
      <c r="H81" s="7">
        <f>_xlfn.XLOOKUP("p_adm ",Probabilidades[Concepto],Probabilidades[Valor])*IF(Trazas[[#This Row],[G]]=1,_xlfn.XLOOKUP("p_U",Probabilidades[Concepto],Probabilidades[Valor])*(1-_xlfn.XLOOKUP("Rechazo_Gerencial",Parametros[Parametro],Parametros[Valor])),1-_xlfn.XLOOKUP("p_U",Probabilidades[Concepto],Probabilidades[Valor]))*IF(Trazas[[#This Row],[T]]=1,_xlfn.XLOOKUP("Tasa_de_productos_dañados",Parametros[Parametro],Parametros[Valor])*_xlfn.XLOOKUP("Reparables",Parametros[Parametro],Parametros[Valor]),1-_xlfn.XLOOKUP("Tasa_de_productos_dañados",Parametros[Parametro],Parametros[Valor])*_xlfn.XLOOKUP("Reparables",Parametros[Parametro],Parametros[Valor]))*IF(Trazas[[#This Row],[R]]=1,_xlfn.XLOOKUP("Tasa_de_reproceso",Parametros[Parametro],Parametros[Valor]),1-_xlfn.XLOOKUP("Tasa_de_reproceso",Parametros[Parametro],Parametros[Valor]))</f>
        <v>2.1482495999999998E-3</v>
      </c>
      <c r="I81">
        <f>_xlfn.XLOOKUP("A",Bloques[Codigo],Bloques[Trabajo_min])+_xlfn.XLOOKUP("B",Bloques[Codigo],Bloques[Trabajo_min])+_xlfn.XLOOKUP("C",Bloques[Codigo],Bloques[Trabajo_min])+Trazas[[#This Row],[G]]*_xlfn.XLOOKUP("G",Bloques[Codigo],Bloques[Trabajo_min])+_xlfn.XLOOKUP("E1",Bloques[Codigo],Bloques[Trabajo_min])+_xlfn.XLOOKUP("E2",Bloques[Codigo],Bloques[Trabajo_min])+Trazas[[#This Row],[T]]*_xlfn.XLOOKUP("T",Bloques[Codigo],Bloques[Trabajo_min])+_xlfn.XLOOKUP("F",Bloques[Codigo],Bloques[Trabajo_min])+Trazas[[#This Row],[R]]*_xlfn.XLOOKUP("R",Bloques[Codigo],Bloques[Trabajo_min])</f>
        <v>210</v>
      </c>
      <c r="J81" s="4">
        <f>_xlfn.XLOOKUP("A",Bloques[Codigo],Bloques[Espera_h])+_xlfn.XLOOKUP("B",Bloques[Codigo],Bloques[Espera_h])+_xlfn.XLOOKUP("C",Bloques[Codigo],Bloques[Espera_h])+Trazas[[#This Row],[G]]*_xlfn.XLOOKUP("G",Bloques[Codigo],Bloques[Espera_h])+_xlfn.XLOOKUP("E1",Bloques[Codigo],Bloques[Espera_h])+_xlfn.XLOOKUP("E2",Bloques[Codigo],Bloques[Espera_h])+Trazas[[#This Row],[T]]*_xlfn.XLOOKUP("T",Bloques[Codigo],Bloques[Espera_h])+_xlfn.XLOOKUP("F",Bloques[Codigo],Bloques[Espera_h])+Trazas[[#This Row],[R]]*_xlfn.XLOOKUP("R",Bloques[Codigo],Bloques[Espera_h])</f>
        <v>428</v>
      </c>
      <c r="K81" s="4">
        <f>Trazas[[#This Row],[Trabajo_min]]/60+Trazas[[#This Row],[Espera_h]]</f>
        <v>431.5</v>
      </c>
      <c r="L81" s="4">
        <f>Trazas[[#This Row],[Ciclo_h]]/24</f>
        <v>17.979166666666668</v>
      </c>
      <c r="M81" s="6">
        <f>(Trazas[[#This Row],[Trabajo_min]]/60)/Trazas[[#This Row],[Ciclo_h]]</f>
        <v>8.1112398609501733E-3</v>
      </c>
      <c r="N81" s="4">
        <f>Trazas[[#This Row],[Probabilidad]]*Trazas[[#This Row],[Ciclo_h]]</f>
        <v>0.92696970239999998</v>
      </c>
      <c r="O81" s="4">
        <f>Trazas[[#This Row],[Probabilidad]]*Trazas[[#This Row],[Trabajo_min]]/60</f>
        <v>7.5188735999999999E-3</v>
      </c>
      <c r="P81" s="4">
        <f>Trazas[[#This Row],[Probabilidad]]*_xlfn.XLOOKUP("Volumen_mensual ",Parametros[Parametro],Parametros[Valor])</f>
        <v>0.54565539839999999</v>
      </c>
    </row>
    <row r="82" spans="3:16" x14ac:dyDescent="0.2">
      <c r="C82" t="s">
        <v>119</v>
      </c>
      <c r="D82" t="s">
        <v>120</v>
      </c>
      <c r="E82">
        <v>1</v>
      </c>
      <c r="F82">
        <v>0</v>
      </c>
      <c r="G82">
        <v>0</v>
      </c>
      <c r="H82" s="7">
        <f>_xlfn.XLOOKUP("p_adm ",Probabilidades[Concepto],Probabilidades[Valor])*IF(Trazas[[#This Row],[G]]=1,_xlfn.XLOOKUP("p_U",Probabilidades[Concepto],Probabilidades[Valor])*(1-_xlfn.XLOOKUP("Rechazo_Gerencial",Parametros[Parametro],Parametros[Valor])),1-_xlfn.XLOOKUP("p_U",Probabilidades[Concepto],Probabilidades[Valor]))*IF(Trazas[[#This Row],[T]]=1,_xlfn.XLOOKUP("Tasa_de_productos_dañados",Parametros[Parametro],Parametros[Valor])*_xlfn.XLOOKUP("Reparables",Parametros[Parametro],Parametros[Valor]),1-_xlfn.XLOOKUP("Tasa_de_productos_dañados",Parametros[Parametro],Parametros[Valor])*_xlfn.XLOOKUP("Reparables",Parametros[Parametro],Parametros[Valor]))*IF(Trazas[[#This Row],[R]]=1,_xlfn.XLOOKUP("Tasa_de_reproceso",Parametros[Parametro],Parametros[Valor]),1-_xlfn.XLOOKUP("Tasa_de_reproceso",Parametros[Parametro],Parametros[Valor]))</f>
        <v>0.40285179916799996</v>
      </c>
      <c r="I82">
        <f>_xlfn.XLOOKUP("A",Bloques[Codigo],Bloques[Trabajo_min])+_xlfn.XLOOKUP("B",Bloques[Codigo],Bloques[Trabajo_min])+_xlfn.XLOOKUP("C",Bloques[Codigo],Bloques[Trabajo_min])+Trazas[[#This Row],[G]]*_xlfn.XLOOKUP("G",Bloques[Codigo],Bloques[Trabajo_min])+_xlfn.XLOOKUP("E1",Bloques[Codigo],Bloques[Trabajo_min])+_xlfn.XLOOKUP("E2",Bloques[Codigo],Bloques[Trabajo_min])+Trazas[[#This Row],[T]]*_xlfn.XLOOKUP("T",Bloques[Codigo],Bloques[Trabajo_min])+_xlfn.XLOOKUP("F",Bloques[Codigo],Bloques[Trabajo_min])+Trazas[[#This Row],[R]]*_xlfn.XLOOKUP("R",Bloques[Codigo],Bloques[Trabajo_min])</f>
        <v>122</v>
      </c>
      <c r="J82" s="4">
        <f>_xlfn.XLOOKUP("A",Bloques[Codigo],Bloques[Espera_h])+_xlfn.XLOOKUP("B",Bloques[Codigo],Bloques[Espera_h])+_xlfn.XLOOKUP("C",Bloques[Codigo],Bloques[Espera_h])+Trazas[[#This Row],[G]]*_xlfn.XLOOKUP("G",Bloques[Codigo],Bloques[Espera_h])+_xlfn.XLOOKUP("E1",Bloques[Codigo],Bloques[Espera_h])+_xlfn.XLOOKUP("E2",Bloques[Codigo],Bloques[Espera_h])+Trazas[[#This Row],[T]]*_xlfn.XLOOKUP("T",Bloques[Codigo],Bloques[Espera_h])+_xlfn.XLOOKUP("F",Bloques[Codigo],Bloques[Espera_h])+Trazas[[#This Row],[R]]*_xlfn.XLOOKUP("R",Bloques[Codigo],Bloques[Espera_h])</f>
        <v>336</v>
      </c>
      <c r="K82" s="4">
        <f>Trazas[[#This Row],[Trabajo_min]]/60+Trazas[[#This Row],[Espera_h]]</f>
        <v>338.03333333333336</v>
      </c>
      <c r="L82" s="4">
        <f>Trazas[[#This Row],[Ciclo_h]]/24</f>
        <v>14.084722222222224</v>
      </c>
      <c r="M82" s="6">
        <f>(Trazas[[#This Row],[Trabajo_min]]/60)/Trazas[[#This Row],[Ciclo_h]]</f>
        <v>6.0151858791046243E-3</v>
      </c>
      <c r="N82" s="4">
        <f>Trazas[[#This Row],[Probabilidad]]*Trazas[[#This Row],[Ciclo_h]]</f>
        <v>136.1773365120896</v>
      </c>
      <c r="O82" s="4">
        <f>Trazas[[#This Row],[Probabilidad]]*Trazas[[#This Row],[Trabajo_min]]/60</f>
        <v>0.81913199164159989</v>
      </c>
      <c r="P82" s="4">
        <f>Trazas[[#This Row],[Probabilidad]]*_xlfn.XLOOKUP("Volumen_mensual ",Parametros[Parametro],Parametros[Valor])</f>
        <v>102.32435698867199</v>
      </c>
    </row>
    <row r="83" spans="3:16" x14ac:dyDescent="0.2">
      <c r="C83" t="s">
        <v>121</v>
      </c>
      <c r="D83" t="s">
        <v>122</v>
      </c>
      <c r="E83">
        <v>1</v>
      </c>
      <c r="F83">
        <v>0</v>
      </c>
      <c r="G83">
        <v>1</v>
      </c>
      <c r="H83" s="7">
        <f>_xlfn.XLOOKUP("p_adm ",Probabilidades[Concepto],Probabilidades[Valor])*IF(Trazas[[#This Row],[G]]=1,_xlfn.XLOOKUP("p_U",Probabilidades[Concepto],Probabilidades[Valor])*(1-_xlfn.XLOOKUP("Rechazo_Gerencial",Parametros[Parametro],Parametros[Valor])),1-_xlfn.XLOOKUP("p_U",Probabilidades[Concepto],Probabilidades[Valor]))*IF(Trazas[[#This Row],[T]]=1,_xlfn.XLOOKUP("Tasa_de_productos_dañados",Parametros[Parametro],Parametros[Valor])*_xlfn.XLOOKUP("Reparables",Parametros[Parametro],Parametros[Valor]),1-_xlfn.XLOOKUP("Tasa_de_productos_dañados",Parametros[Parametro],Parametros[Valor])*_xlfn.XLOOKUP("Reparables",Parametros[Parametro],Parametros[Valor]))*IF(Trazas[[#This Row],[R]]=1,_xlfn.XLOOKUP("Tasa_de_reproceso",Parametros[Parametro],Parametros[Valor]),1-_xlfn.XLOOKUP("Tasa_de_reproceso",Parametros[Parametro],Parametros[Valor]))</f>
        <v>3.9842485631999991E-2</v>
      </c>
      <c r="I83">
        <f>_xlfn.XLOOKUP("A",Bloques[Codigo],Bloques[Trabajo_min])+_xlfn.XLOOKUP("B",Bloques[Codigo],Bloques[Trabajo_min])+_xlfn.XLOOKUP("C",Bloques[Codigo],Bloques[Trabajo_min])+Trazas[[#This Row],[G]]*_xlfn.XLOOKUP("G",Bloques[Codigo],Bloques[Trabajo_min])+_xlfn.XLOOKUP("E1",Bloques[Codigo],Bloques[Trabajo_min])+_xlfn.XLOOKUP("E2",Bloques[Codigo],Bloques[Trabajo_min])+Trazas[[#This Row],[T]]*_xlfn.XLOOKUP("T",Bloques[Codigo],Bloques[Trabajo_min])+_xlfn.XLOOKUP("F",Bloques[Codigo],Bloques[Trabajo_min])+Trazas[[#This Row],[R]]*_xlfn.XLOOKUP("R",Bloques[Codigo],Bloques[Trabajo_min])</f>
        <v>159</v>
      </c>
      <c r="J83" s="4">
        <f>_xlfn.XLOOKUP("A",Bloques[Codigo],Bloques[Espera_h])+_xlfn.XLOOKUP("B",Bloques[Codigo],Bloques[Espera_h])+_xlfn.XLOOKUP("C",Bloques[Codigo],Bloques[Espera_h])+Trazas[[#This Row],[G]]*_xlfn.XLOOKUP("G",Bloques[Codigo],Bloques[Espera_h])+_xlfn.XLOOKUP("E1",Bloques[Codigo],Bloques[Espera_h])+_xlfn.XLOOKUP("E2",Bloques[Codigo],Bloques[Espera_h])+Trazas[[#This Row],[T]]*_xlfn.XLOOKUP("T",Bloques[Codigo],Bloques[Espera_h])+_xlfn.XLOOKUP("F",Bloques[Codigo],Bloques[Espera_h])+Trazas[[#This Row],[R]]*_xlfn.XLOOKUP("R",Bloques[Codigo],Bloques[Espera_h])</f>
        <v>360</v>
      </c>
      <c r="K83" s="4">
        <f>Trazas[[#This Row],[Trabajo_min]]/60+Trazas[[#This Row],[Espera_h]]</f>
        <v>362.65</v>
      </c>
      <c r="L83" s="4">
        <f>Trazas[[#This Row],[Ciclo_h]]/24</f>
        <v>15.110416666666666</v>
      </c>
      <c r="M83" s="6">
        <f>(Trazas[[#This Row],[Trabajo_min]]/60)/Trazas[[#This Row],[Ciclo_h]]</f>
        <v>7.3073211085068254E-3</v>
      </c>
      <c r="N83" s="4">
        <f>Trazas[[#This Row],[Probabilidad]]*Trazas[[#This Row],[Ciclo_h]]</f>
        <v>14.448877414444796</v>
      </c>
      <c r="O83" s="4">
        <f>Trazas[[#This Row],[Probabilidad]]*Trazas[[#This Row],[Trabajo_min]]/60</f>
        <v>0.10558258692479998</v>
      </c>
      <c r="P83" s="4">
        <f>Trazas[[#This Row],[Probabilidad]]*_xlfn.XLOOKUP("Volumen_mensual ",Parametros[Parametro],Parametros[Valor])</f>
        <v>10.119991350527998</v>
      </c>
    </row>
    <row r="84" spans="3:16" x14ac:dyDescent="0.2">
      <c r="C84" t="s">
        <v>123</v>
      </c>
      <c r="D84" t="s">
        <v>124</v>
      </c>
      <c r="E84">
        <v>1</v>
      </c>
      <c r="F84">
        <v>1</v>
      </c>
      <c r="G84">
        <v>0</v>
      </c>
      <c r="H84" s="7">
        <f>_xlfn.XLOOKUP("p_adm ",Probabilidades[Concepto],Probabilidades[Valor])*IF(Trazas[[#This Row],[G]]=1,_xlfn.XLOOKUP("p_U",Probabilidades[Concepto],Probabilidades[Valor])*(1-_xlfn.XLOOKUP("Rechazo_Gerencial",Parametros[Parametro],Parametros[Valor])),1-_xlfn.XLOOKUP("p_U",Probabilidades[Concepto],Probabilidades[Valor]))*IF(Trazas[[#This Row],[T]]=1,_xlfn.XLOOKUP("Tasa_de_productos_dañados",Parametros[Parametro],Parametros[Valor])*_xlfn.XLOOKUP("Reparables",Parametros[Parametro],Parametros[Valor]),1-_xlfn.XLOOKUP("Tasa_de_productos_dañados",Parametros[Parametro],Parametros[Valor])*_xlfn.XLOOKUP("Reparables",Parametros[Parametro],Parametros[Valor]))*IF(Trazas[[#This Row],[R]]=1,_xlfn.XLOOKUP("Tasa_de_reproceso",Parametros[Parametro],Parametros[Valor]),1-_xlfn.XLOOKUP("Tasa_de_reproceso",Parametros[Parametro],Parametros[Valor]))</f>
        <v>5.8077032831999997E-2</v>
      </c>
      <c r="I84">
        <f>_xlfn.XLOOKUP("A",Bloques[Codigo],Bloques[Trabajo_min])+_xlfn.XLOOKUP("B",Bloques[Codigo],Bloques[Trabajo_min])+_xlfn.XLOOKUP("C",Bloques[Codigo],Bloques[Trabajo_min])+Trazas[[#This Row],[G]]*_xlfn.XLOOKUP("G",Bloques[Codigo],Bloques[Trabajo_min])+_xlfn.XLOOKUP("E1",Bloques[Codigo],Bloques[Trabajo_min])+_xlfn.XLOOKUP("E2",Bloques[Codigo],Bloques[Trabajo_min])+Trazas[[#This Row],[T]]*_xlfn.XLOOKUP("T",Bloques[Codigo],Bloques[Trabajo_min])+_xlfn.XLOOKUP("F",Bloques[Codigo],Bloques[Trabajo_min])+Trazas[[#This Row],[R]]*_xlfn.XLOOKUP("R",Bloques[Codigo],Bloques[Trabajo_min])</f>
        <v>187</v>
      </c>
      <c r="J84" s="4">
        <f>_xlfn.XLOOKUP("A",Bloques[Codigo],Bloques[Espera_h])+_xlfn.XLOOKUP("B",Bloques[Codigo],Bloques[Espera_h])+_xlfn.XLOOKUP("C",Bloques[Codigo],Bloques[Espera_h])+Trazas[[#This Row],[G]]*_xlfn.XLOOKUP("G",Bloques[Codigo],Bloques[Espera_h])+_xlfn.XLOOKUP("E1",Bloques[Codigo],Bloques[Espera_h])+_xlfn.XLOOKUP("E2",Bloques[Codigo],Bloques[Espera_h])+Trazas[[#This Row],[T]]*_xlfn.XLOOKUP("T",Bloques[Codigo],Bloques[Espera_h])+_xlfn.XLOOKUP("F",Bloques[Codigo],Bloques[Espera_h])+Trazas[[#This Row],[R]]*_xlfn.XLOOKUP("R",Bloques[Codigo],Bloques[Espera_h])</f>
        <v>456</v>
      </c>
      <c r="K84" s="4">
        <f>Trazas[[#This Row],[Trabajo_min]]/60+Trazas[[#This Row],[Espera_h]]</f>
        <v>459.11666666666667</v>
      </c>
      <c r="L84" s="4">
        <f>Trazas[[#This Row],[Ciclo_h]]/24</f>
        <v>19.129861111111111</v>
      </c>
      <c r="M84" s="6">
        <f>(Trazas[[#This Row],[Trabajo_min]]/60)/Trazas[[#This Row],[Ciclo_h]]</f>
        <v>6.7883980106726687E-3</v>
      </c>
      <c r="N84" s="4">
        <f>Trazas[[#This Row],[Probabilidad]]*Trazas[[#This Row],[Ciclo_h]]</f>
        <v>26.6641337237184</v>
      </c>
      <c r="O84" s="4">
        <f>Trazas[[#This Row],[Probabilidad]]*Trazas[[#This Row],[Trabajo_min]]/60</f>
        <v>0.18100675232639998</v>
      </c>
      <c r="P84" s="4">
        <f>Trazas[[#This Row],[Probabilidad]]*_xlfn.XLOOKUP("Volumen_mensual ",Parametros[Parametro],Parametros[Valor])</f>
        <v>14.751566339327999</v>
      </c>
    </row>
    <row r="85" spans="3:16" x14ac:dyDescent="0.2">
      <c r="C85" t="s">
        <v>125</v>
      </c>
      <c r="D85" t="s">
        <v>126</v>
      </c>
      <c r="E85">
        <v>1</v>
      </c>
      <c r="F85">
        <v>1</v>
      </c>
      <c r="G85">
        <v>1</v>
      </c>
      <c r="H85" s="7">
        <f>_xlfn.XLOOKUP("p_adm ",Probabilidades[Concepto],Probabilidades[Valor])*IF(Trazas[[#This Row],[G]]=1,_xlfn.XLOOKUP("p_U",Probabilidades[Concepto],Probabilidades[Valor])*(1-_xlfn.XLOOKUP("Rechazo_Gerencial",Parametros[Parametro],Parametros[Valor])),1-_xlfn.XLOOKUP("p_U",Probabilidades[Concepto],Probabilidades[Valor]))*IF(Trazas[[#This Row],[T]]=1,_xlfn.XLOOKUP("Tasa_de_productos_dañados",Parametros[Parametro],Parametros[Valor])*_xlfn.XLOOKUP("Reparables",Parametros[Parametro],Parametros[Valor]),1-_xlfn.XLOOKUP("Tasa_de_productos_dañados",Parametros[Parametro],Parametros[Valor])*_xlfn.XLOOKUP("Reparables",Parametros[Parametro],Parametros[Valor]))*IF(Trazas[[#This Row],[R]]=1,_xlfn.XLOOKUP("Tasa_de_reproceso",Parametros[Parametro],Parametros[Valor]),1-_xlfn.XLOOKUP("Tasa_de_reproceso",Parametros[Parametro],Parametros[Valor]))</f>
        <v>5.743882367999999E-3</v>
      </c>
      <c r="I85">
        <f>_xlfn.XLOOKUP("A",Bloques[Codigo],Bloques[Trabajo_min])+_xlfn.XLOOKUP("B",Bloques[Codigo],Bloques[Trabajo_min])+_xlfn.XLOOKUP("C",Bloques[Codigo],Bloques[Trabajo_min])+Trazas[[#This Row],[G]]*_xlfn.XLOOKUP("G",Bloques[Codigo],Bloques[Trabajo_min])+_xlfn.XLOOKUP("E1",Bloques[Codigo],Bloques[Trabajo_min])+_xlfn.XLOOKUP("E2",Bloques[Codigo],Bloques[Trabajo_min])+Trazas[[#This Row],[T]]*_xlfn.XLOOKUP("T",Bloques[Codigo],Bloques[Trabajo_min])+_xlfn.XLOOKUP("F",Bloques[Codigo],Bloques[Trabajo_min])+Trazas[[#This Row],[R]]*_xlfn.XLOOKUP("R",Bloques[Codigo],Bloques[Trabajo_min])</f>
        <v>224</v>
      </c>
      <c r="J85" s="4">
        <f>_xlfn.XLOOKUP("A",Bloques[Codigo],Bloques[Espera_h])+_xlfn.XLOOKUP("B",Bloques[Codigo],Bloques[Espera_h])+_xlfn.XLOOKUP("C",Bloques[Codigo],Bloques[Espera_h])+Trazas[[#This Row],[G]]*_xlfn.XLOOKUP("G",Bloques[Codigo],Bloques[Espera_h])+_xlfn.XLOOKUP("E1",Bloques[Codigo],Bloques[Espera_h])+_xlfn.XLOOKUP("E2",Bloques[Codigo],Bloques[Espera_h])+Trazas[[#This Row],[T]]*_xlfn.XLOOKUP("T",Bloques[Codigo],Bloques[Espera_h])+_xlfn.XLOOKUP("F",Bloques[Codigo],Bloques[Espera_h])+Trazas[[#This Row],[R]]*_xlfn.XLOOKUP("R",Bloques[Codigo],Bloques[Espera_h])</f>
        <v>480</v>
      </c>
      <c r="K85" s="4">
        <f>Trazas[[#This Row],[Trabajo_min]]/60+Trazas[[#This Row],[Espera_h]]</f>
        <v>483.73333333333335</v>
      </c>
      <c r="L85" s="4">
        <f>Trazas[[#This Row],[Ciclo_h]]/24</f>
        <v>20.155555555555555</v>
      </c>
      <c r="M85" s="6">
        <f>(Trazas[[#This Row],[Trabajo_min]]/60)/Trazas[[#This Row],[Ciclo_h]]</f>
        <v>7.717750826901874E-3</v>
      </c>
      <c r="N85" s="4">
        <f>Trazas[[#This Row],[Probabilidad]]*Trazas[[#This Row],[Ciclo_h]]</f>
        <v>2.7785073641471998</v>
      </c>
      <c r="O85" s="4">
        <f>Trazas[[#This Row],[Probabilidad]]*Trazas[[#This Row],[Trabajo_min]]/60</f>
        <v>2.1443827507199996E-2</v>
      </c>
      <c r="P85" s="4">
        <f>Trazas[[#This Row],[Probabilidad]]*_xlfn.XLOOKUP("Volumen_mensual ",Parametros[Parametro],Parametros[Valor])</f>
        <v>1.4589461214719996</v>
      </c>
    </row>
    <row r="86" spans="3:16" x14ac:dyDescent="0.2">
      <c r="C86" t="s">
        <v>17</v>
      </c>
      <c r="H86" s="7">
        <f>SUBTOTAL(109,Trazas[Probabilidad])</f>
        <v>1</v>
      </c>
      <c r="N86" s="4">
        <f>SUBTOTAL(109,Trazas[Prob_x_Ciclo])</f>
        <v>244.13635688106669</v>
      </c>
      <c r="O86" s="4">
        <f>SUBTOTAL(109,Trazas[Prob_x_Trabajo_h])</f>
        <v>1.6271662250666665</v>
      </c>
      <c r="P86" s="4">
        <f>SUBTOTAL(109,Trazas[Casos])</f>
        <v>254</v>
      </c>
    </row>
    <row r="88" spans="3:16" x14ac:dyDescent="0.2">
      <c r="C88" s="2" t="s">
        <v>127</v>
      </c>
      <c r="D88" s="4">
        <f>Trazas[[#Totals],[Prob_x_Ciclo]]</f>
        <v>244.13635688106669</v>
      </c>
    </row>
    <row r="89" spans="3:16" x14ac:dyDescent="0.2">
      <c r="C89" s="2" t="s">
        <v>128</v>
      </c>
      <c r="D89" s="4">
        <f>D88/24</f>
        <v>10.172348203377778</v>
      </c>
    </row>
    <row r="90" spans="3:16" x14ac:dyDescent="0.2">
      <c r="C90" s="2" t="s">
        <v>129</v>
      </c>
      <c r="D90" s="4">
        <f>Trazas[[#Totals],[Prob_x_Trabajo_h]]</f>
        <v>1.6271662250666665</v>
      </c>
    </row>
    <row r="91" spans="3:16" x14ac:dyDescent="0.2">
      <c r="C91" s="2" t="s">
        <v>130</v>
      </c>
      <c r="D91" s="6">
        <f>Trazas[[#Totals],[Prob_x_Trabajo_h]]/Trazas[[#Totals],[Prob_x_Ciclo]]</f>
        <v>6.664989376651327E-3</v>
      </c>
    </row>
  </sheetData>
  <phoneticPr fontId="2" type="noConversion"/>
  <pageMargins left="0.7" right="0.7" top="0.75" bottom="0.75" header="0.3" footer="0.3"/>
  <tableParts count="8">
    <tablePart r:id="rId1"/>
    <tablePart r:id="rId2"/>
    <tablePart r:id="rId3"/>
    <tablePart r:id="rId4"/>
    <tablePart r:id="rId5"/>
    <tablePart r:id="rId6"/>
    <tablePart r:id="rId7"/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Parámetros</vt:lpstr>
      <vt:lpstr>Distribución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Vicente Acevedo Campos (Alumno)</dc:creator>
  <cp:lastModifiedBy>Vicente Acevedo Campos (Alumno)</cp:lastModifiedBy>
  <dcterms:created xsi:type="dcterms:W3CDTF">2026-08-31T12:20:59Z</dcterms:created>
  <dcterms:modified xsi:type="dcterms:W3CDTF">2026-08-31T15:03:47Z</dcterms:modified>
</cp:coreProperties>
</file>